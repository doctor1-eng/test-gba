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Checklist" sheetId="2" state="visible" r:id="rId2"/>
  </sheets>
  <definedNames>
    <definedName name="_xlnm._FilterDatabase" localSheetId="1" hidden="1">'Checklist'!$A$3:$F$101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2933"/>
      <sz val="16"/>
    </font>
    <font>
      <name val="Arial"/>
      <i val="1"/>
      <color rgb="0052606D"/>
      <sz val="10"/>
    </font>
    <font>
      <name val="Arial"/>
      <b val="1"/>
      <sz val="11"/>
    </font>
    <font>
      <name val="Arial"/>
      <b val="1"/>
      <sz val="20"/>
    </font>
    <font>
      <name val="Arial"/>
      <b val="1"/>
      <color rgb="00FFFFFF"/>
      <sz val="10"/>
    </font>
    <font>
      <name val="Arial"/>
      <sz val="10"/>
    </font>
    <font>
      <name val="Arial"/>
      <b val="1"/>
      <sz val="14"/>
    </font>
    <font>
      <name val="Arial"/>
      <i val="1"/>
      <color rgb="0052606D"/>
      <sz val="9"/>
    </font>
    <font>
      <name val="Arial"/>
      <b val="1"/>
      <color rgb="00FFFFFF"/>
      <sz val="11"/>
    </font>
  </fonts>
  <fills count="8">
    <fill>
      <patternFill/>
    </fill>
    <fill>
      <patternFill patternType="gray125"/>
    </fill>
    <fill>
      <patternFill patternType="solid">
        <fgColor rgb="00E4E7EB"/>
      </patternFill>
    </fill>
    <fill>
      <patternFill patternType="solid">
        <fgColor rgb="00DFF5E1"/>
      </patternFill>
    </fill>
    <fill>
      <patternFill patternType="solid">
        <fgColor rgb="00FCE4E4"/>
      </patternFill>
    </fill>
    <fill>
      <patternFill patternType="solid">
        <fgColor rgb="00FFF4D6"/>
      </patternFill>
    </fill>
    <fill>
      <patternFill patternType="solid">
        <fgColor rgb="00DCEBFC"/>
      </patternFill>
    </fill>
    <fill>
      <patternFill patternType="solid">
        <fgColor rgb="002F5597"/>
      </patternFill>
    </fill>
  </fills>
  <borders count="2">
    <border>
      <left/>
      <right/>
      <top/>
      <bottom/>
      <diagonal/>
    </border>
    <border>
      <left style="thin">
        <color rgb="00B0B7C3"/>
      </left>
      <right style="thin">
        <color rgb="00B0B7C3"/>
      </right>
      <top style="thin">
        <color rgb="00B0B7C3"/>
      </top>
      <bottom style="thin">
        <color rgb="00B0B7C3"/>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1" applyAlignment="1" pivotButton="0" quotePrefix="0" xfId="0">
      <alignment horizontal="center"/>
    </xf>
    <xf numFmtId="0" fontId="4" fillId="2" borderId="1" applyAlignment="1" pivotButton="0" quotePrefix="0" xfId="0">
      <alignment horizontal="center"/>
    </xf>
    <xf numFmtId="0" fontId="4" fillId="3" borderId="1" applyAlignment="1" pivotButton="0" quotePrefix="0" xfId="0">
      <alignment horizontal="center"/>
    </xf>
    <xf numFmtId="0" fontId="4" fillId="4" borderId="1" applyAlignment="1" pivotButton="0" quotePrefix="0" xfId="0">
      <alignment horizontal="center"/>
    </xf>
    <xf numFmtId="0" fontId="4" fillId="5" borderId="1" applyAlignment="1" pivotButton="0" quotePrefix="0" xfId="0">
      <alignment horizontal="center"/>
    </xf>
    <xf numFmtId="9" fontId="4" fillId="6" borderId="1" applyAlignment="1" pivotButton="0" quotePrefix="0" xfId="0">
      <alignment horizontal="center"/>
    </xf>
    <xf numFmtId="0" fontId="3" fillId="0" borderId="0" pivotButton="0" quotePrefix="0" xfId="0"/>
    <xf numFmtId="0" fontId="5" fillId="7" borderId="0" applyAlignment="1" pivotButton="0" quotePrefix="0" xfId="0">
      <alignment horizontal="center" vertical="center" wrapText="1"/>
    </xf>
    <xf numFmtId="0" fontId="6" fillId="0" borderId="0" applyAlignment="1" pivotButton="0" quotePrefix="0" xfId="0">
      <alignment wrapText="1"/>
    </xf>
    <xf numFmtId="0" fontId="0" fillId="0" borderId="0" applyAlignment="1" pivotButton="0" quotePrefix="0" xfId="0">
      <alignment horizontal="center"/>
    </xf>
    <xf numFmtId="0" fontId="7" fillId="0" borderId="0" pivotButton="0" quotePrefix="0" xfId="0"/>
    <xf numFmtId="0" fontId="8" fillId="0" borderId="0" applyAlignment="1" pivotButton="0" quotePrefix="0" xfId="0">
      <alignment wrapText="1"/>
    </xf>
    <xf numFmtId="0" fontId="9" fillId="7" borderId="1" applyAlignment="1" pivotButton="0" quotePrefix="0" xfId="0">
      <alignment horizontal="center" vertical="center" wrapText="1"/>
    </xf>
    <xf numFmtId="0" fontId="6" fillId="0" borderId="1" applyAlignment="1" pivotButton="0" quotePrefix="0" xfId="0">
      <alignment horizontal="center" vertical="top"/>
    </xf>
    <xf numFmtId="0" fontId="6" fillId="0" borderId="1" applyAlignment="1" pivotButton="0" quotePrefix="0" xfId="0">
      <alignment vertical="top" wrapText="1"/>
    </xf>
    <xf numFmtId="0" fontId="6" fillId="0" borderId="1" pivotButton="0" quotePrefix="0" xfId="0"/>
  </cellXfs>
  <cellStyles count="1">
    <cellStyle name="Normal" xfId="0" builtinId="0" hidden="0"/>
  </cellStyles>
  <dxfs count="3">
    <dxf>
      <font>
        <name val="Arial"/>
        <color rgb="00006100"/>
        <sz val="10"/>
      </font>
      <fill>
        <patternFill patternType="solid">
          <fgColor rgb="00C6EFCE"/>
        </patternFill>
      </fill>
    </dxf>
    <dxf>
      <font>
        <name val="Arial"/>
        <color rgb="009C0006"/>
        <sz val="10"/>
      </font>
      <fill>
        <patternFill patternType="solid">
          <fgColor rgb="00FFC7CE"/>
        </patternFill>
      </fill>
    </dxf>
    <dxf>
      <font>
        <name val="Arial"/>
        <color rgb="009C6500"/>
        <sz val="10"/>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8"/>
  <sheetViews>
    <sheetView workbookViewId="0">
      <pane ySplit="3" topLeftCell="A4" activePane="bottomLeft" state="frozen"/>
      <selection pane="bottomLeft" activeCell="A1" sqref="A1"/>
    </sheetView>
  </sheetViews>
  <sheetFormatPr baseColWidth="8" defaultRowHeight="15"/>
  <cols>
    <col width="42" customWidth="1" min="2" max="2"/>
    <col width="12" customWidth="1" min="3" max="3"/>
    <col width="12" customWidth="1" min="4" max="4"/>
    <col width="12" customWidth="1" min="5" max="5"/>
    <col width="12" customWidth="1" min="6" max="6"/>
  </cols>
  <sheetData>
    <row r="2">
      <c r="B2" s="1" t="inlineStr">
        <is>
          <t>Heart &amp; Soul — Checklist de test</t>
        </is>
      </c>
    </row>
    <row r="3" ht="30" customHeight="1">
      <c r="B3" s="2" t="inlineStr">
        <is>
          <t>Généré à partir de docs/heart_and_soul/quick_test_checklist.md — à dérouler sur une partie neuve, jamais une sauvegarde continuée.</t>
        </is>
      </c>
    </row>
    <row r="5">
      <c r="B5" s="3" t="inlineStr">
        <is>
          <t>Total des points</t>
        </is>
      </c>
      <c r="C5" s="3" t="inlineStr">
        <is>
          <t>OK</t>
        </is>
      </c>
      <c r="D5" s="3" t="inlineStr">
        <is>
          <t>KO</t>
        </is>
      </c>
      <c r="E5" s="3" t="inlineStr">
        <is>
          <t>Non testé</t>
        </is>
      </c>
      <c r="F5" s="3" t="inlineStr">
        <is>
          <t>% complété</t>
        </is>
      </c>
    </row>
    <row r="6">
      <c r="B6" s="4">
        <f>COUNTA(Checklist!A4:A101)</f>
        <v/>
      </c>
      <c r="C6" s="5">
        <f>COUNTIF(Checklist!E4:E101,"OK")</f>
        <v/>
      </c>
      <c r="D6" s="6">
        <f>COUNTIF(Checklist!E4:E101,"KO")</f>
        <v/>
      </c>
      <c r="E6" s="7">
        <f>COUNTIF(Checklist!E4:E101,"Non testé")</f>
        <v/>
      </c>
      <c r="F6" s="8">
        <f>IFERROR(C6/B6,0)</f>
        <v/>
      </c>
    </row>
    <row r="8">
      <c r="B8" s="9" t="inlineStr">
        <is>
          <t>Répartition par section</t>
        </is>
      </c>
    </row>
    <row r="9">
      <c r="B9" s="10" t="inlineStr">
        <is>
          <t>Section</t>
        </is>
      </c>
      <c r="C9" s="10" t="inlineStr">
        <is>
          <t>Points</t>
        </is>
      </c>
      <c r="D9" s="10" t="inlineStr">
        <is>
          <t>OK</t>
        </is>
      </c>
      <c r="E9" s="10" t="inlineStr">
        <is>
          <t>KO</t>
        </is>
      </c>
      <c r="F9" s="10" t="inlineStr">
        <is>
          <t>Non testé</t>
        </is>
      </c>
    </row>
    <row r="10">
      <c r="B10" s="11" t="inlineStr">
        <is>
          <t>1. Lancement / création de personnage</t>
        </is>
      </c>
      <c r="C10" s="12">
        <f>COUNTIF(Checklist!B4:B101,B10)</f>
        <v/>
      </c>
      <c r="D10" s="12">
        <f>COUNTIFS(Checklist!B4:B101,B10,Checklist!E4:E101,"OK")</f>
        <v/>
      </c>
      <c r="E10" s="12">
        <f>COUNTIFS(Checklist!B4:B101,B10,Checklist!E4:E101,"KO")</f>
        <v/>
      </c>
      <c r="F10" s="12">
        <f>COUNTIFS(Checklist!B4:B101,B10,Checklist!E4:E101,"Non testé")</f>
        <v/>
      </c>
    </row>
    <row r="11">
      <c r="B11" s="11" t="inlineStr">
        <is>
          <t>2. Choix du type et de l'équipe</t>
        </is>
      </c>
      <c r="C11" s="12">
        <f>COUNTIF(Checklist!B4:B101,B11)</f>
        <v/>
      </c>
      <c r="D11" s="12">
        <f>COUNTIFS(Checklist!B4:B101,B11,Checklist!E4:E101,"OK")</f>
        <v/>
      </c>
      <c r="E11" s="12">
        <f>COUNTIFS(Checklist!B4:B101,B11,Checklist!E4:E101,"KO")</f>
        <v/>
      </c>
      <c r="F11" s="12">
        <f>COUNTIFS(Checklist!B4:B101,B11,Checklist!E4:E101,"Non testé")</f>
        <v/>
      </c>
    </row>
    <row r="12">
      <c r="B12" s="11" t="inlineStr">
        <is>
          <t>3. Attaque de Cinnabar (Acte I)</t>
        </is>
      </c>
      <c r="C12" s="12">
        <f>COUNTIF(Checklist!B4:B101,B12)</f>
        <v/>
      </c>
      <c r="D12" s="12">
        <f>COUNTIFS(Checklist!B4:B101,B12,Checklist!E4:E101,"OK")</f>
        <v/>
      </c>
      <c r="E12" s="12">
        <f>COUNTIFS(Checklist!B4:B101,B12,Checklist!E4:E101,"KO")</f>
        <v/>
      </c>
      <c r="F12" s="12">
        <f>COUNTIFS(Checklist!B4:B101,B12,Checklist!E4:E101,"Non testé")</f>
        <v/>
      </c>
    </row>
    <row r="13">
      <c r="B13" s="11" t="inlineStr">
        <is>
          <t>4. Route 1</t>
        </is>
      </c>
      <c r="C13" s="12">
        <f>COUNTIF(Checklist!B4:B101,B13)</f>
        <v/>
      </c>
      <c r="D13" s="12">
        <f>COUNTIFS(Checklist!B4:B101,B13,Checklist!E4:E101,"OK")</f>
        <v/>
      </c>
      <c r="E13" s="12">
        <f>COUNTIFS(Checklist!B4:B101,B13,Checklist!E4:E101,"KO")</f>
        <v/>
      </c>
      <c r="F13" s="12">
        <f>COUNTIFS(Checklist!B4:B101,B13,Checklist!E4:E101,"Non testé")</f>
        <v/>
      </c>
    </row>
    <row r="14">
      <c r="B14" s="11" t="inlineStr">
        <is>
          <t>5. Viridian (Argenta)</t>
        </is>
      </c>
      <c r="C14" s="12">
        <f>COUNTIF(Checklist!B4:B101,B14)</f>
        <v/>
      </c>
      <c r="D14" s="12">
        <f>COUNTIFS(Checklist!B4:B101,B14,Checklist!E4:E101,"OK")</f>
        <v/>
      </c>
      <c r="E14" s="12">
        <f>COUNTIFS(Checklist!B4:B101,B14,Checklist!E4:E101,"KO")</f>
        <v/>
      </c>
      <c r="F14" s="12">
        <f>COUNTIFS(Checklist!B4:B101,B14,Checklist!E4:E101,"Non testé")</f>
        <v/>
      </c>
    </row>
    <row r="15">
      <c r="B15" s="11" t="inlineStr">
        <is>
          <t>6. Forêt de Jade (Viridian Forest)</t>
        </is>
      </c>
      <c r="C15" s="12">
        <f>COUNTIF(Checklist!B4:B101,B15)</f>
        <v/>
      </c>
      <c r="D15" s="12">
        <f>COUNTIFS(Checklist!B4:B101,B15,Checklist!E4:E101,"OK")</f>
        <v/>
      </c>
      <c r="E15" s="12">
        <f>COUNTIFS(Checklist!B4:B101,B15,Checklist!E4:E101,"KO")</f>
        <v/>
      </c>
      <c r="F15" s="12">
        <f>COUNTIFS(Checklist!B4:B101,B15,Checklist!E4:E101,"Non testé")</f>
        <v/>
      </c>
    </row>
    <row r="16">
      <c r="B16" s="11" t="inlineStr">
        <is>
          <t>7. Argenta → Jadielle → Azuria (route et niveaux)</t>
        </is>
      </c>
      <c r="C16" s="12">
        <f>COUNTIF(Checklist!B4:B101,B16)</f>
        <v/>
      </c>
      <c r="D16" s="12">
        <f>COUNTIFS(Checklist!B4:B101,B16,Checklist!E4:E101,"OK")</f>
        <v/>
      </c>
      <c r="E16" s="12">
        <f>COUNTIFS(Checklist!B4:B101,B16,Checklist!E4:E101,"KO")</f>
        <v/>
      </c>
      <c r="F16" s="12">
        <f>COUNTIFS(Checklist!B4:B101,B16,Checklist!E4:E101,"Non testé")</f>
        <v/>
      </c>
    </row>
    <row r="17">
      <c r="B17" s="11" t="inlineStr">
        <is>
          <t>8. Arène de Pierre (Jadielle)</t>
        </is>
      </c>
      <c r="C17" s="12">
        <f>COUNTIF(Checklist!B4:B101,B17)</f>
        <v/>
      </c>
      <c r="D17" s="12">
        <f>COUNTIFS(Checklist!B4:B101,B17,Checklist!E4:E101,"OK")</f>
        <v/>
      </c>
      <c r="E17" s="12">
        <f>COUNTIFS(Checklist!B4:B101,B17,Checklist!E4:E101,"KO")</f>
        <v/>
      </c>
      <c r="F17" s="12">
        <f>COUNTIFS(Checklist!B4:B101,B17,Checklist!E4:E101,"Non testé")</f>
        <v/>
      </c>
    </row>
    <row r="18">
      <c r="B18" s="11" t="inlineStr">
        <is>
          <t>9. Azuria</t>
        </is>
      </c>
      <c r="C18" s="12">
        <f>COUNTIF(Checklist!B4:B101,B18)</f>
        <v/>
      </c>
      <c r="D18" s="12">
        <f>COUNTIFS(Checklist!B4:B101,B18,Checklist!E4:E101,"OK")</f>
        <v/>
      </c>
      <c r="E18" s="12">
        <f>COUNTIFS(Checklist!B4:B101,B18,Checklist!E4:E101,"KO")</f>
        <v/>
      </c>
      <c r="F18" s="12">
        <f>COUNTIFS(Checklist!B4:B101,B18,Checklist!E4:E101,"Non testé")</f>
        <v/>
      </c>
    </row>
    <row r="19">
      <c r="B19" s="11" t="inlineStr">
        <is>
          <t>10. Route vers Carmin-sur-Mer (Vermilion)</t>
        </is>
      </c>
      <c r="C19" s="12">
        <f>COUNTIF(Checklist!B4:B101,B19)</f>
        <v/>
      </c>
      <c r="D19" s="12">
        <f>COUNTIFS(Checklist!B4:B101,B19,Checklist!E4:E101,"OK")</f>
        <v/>
      </c>
      <c r="E19" s="12">
        <f>COUNTIFS(Checklist!B4:B101,B19,Checklist!E4:E101,"KO")</f>
        <v/>
      </c>
      <c r="F19" s="12">
        <f>COUNTIFS(Checklist!B4:B101,B19,Checklist!E4:E101,"Non testé")</f>
        <v/>
      </c>
    </row>
    <row r="20">
      <c r="B20" s="11" t="inlineStr">
        <is>
          <t>11. Arène de Major Bob (Carmin-sur-Mer, 4e arène)</t>
        </is>
      </c>
      <c r="C20" s="12">
        <f>COUNTIF(Checklist!B4:B101,B20)</f>
        <v/>
      </c>
      <c r="D20" s="12">
        <f>COUNTIFS(Checklist!B4:B101,B20,Checklist!E4:E101,"OK")</f>
        <v/>
      </c>
      <c r="E20" s="12">
        <f>COUNTIFS(Checklist!B4:B101,B20,Checklist!E4:E101,"KO")</f>
        <v/>
      </c>
      <c r="F20" s="12">
        <f>COUNTIFS(Checklist!B4:B101,B20,Checklist!E4:E101,"Non testé")</f>
        <v/>
      </c>
    </row>
    <row r="21">
      <c r="B21" s="11" t="inlineStr">
        <is>
          <t>12. Portes de Cinnabar (Arène/Manoir/Labo) — build séparé</t>
        </is>
      </c>
      <c r="C21" s="12">
        <f>COUNTIF(Checklist!B4:B101,B21)</f>
        <v/>
      </c>
      <c r="D21" s="12">
        <f>COUNTIFS(Checklist!B4:B101,B21,Checklist!E4:E101,"OK")</f>
        <v/>
      </c>
      <c r="E21" s="12">
        <f>COUNTIFS(Checklist!B4:B101,B21,Checklist!E4:E101,"KO")</f>
        <v/>
      </c>
      <c r="F21" s="12">
        <f>COUNTIFS(Checklist!B4:B101,B21,Checklist!E4:E101,"Non testé")</f>
        <v/>
      </c>
    </row>
    <row r="22">
      <c r="B22" s="11" t="inlineStr">
        <is>
          <t>13. Acte III — les 3 lieutenants</t>
        </is>
      </c>
      <c r="C22" s="12">
        <f>COUNTIF(Checklist!B4:B101,B22)</f>
        <v/>
      </c>
      <c r="D22" s="12">
        <f>COUNTIFS(Checklist!B4:B101,B22,Checklist!E4:E101,"OK")</f>
        <v/>
      </c>
      <c r="E22" s="12">
        <f>COUNTIFS(Checklist!B4:B101,B22,Checklist!E4:E101,"KO")</f>
        <v/>
      </c>
      <c r="F22" s="12">
        <f>COUNTIFS(Checklist!B4:B101,B22,Checklist!E4:E101,"Non testé")</f>
        <v/>
      </c>
    </row>
    <row r="23">
      <c r="B23" s="11" t="inlineStr">
        <is>
          <t>14. Acte IV — 3 Championnes ralliées</t>
        </is>
      </c>
      <c r="C23" s="12">
        <f>COUNTIF(Checklist!B4:B101,B23)</f>
        <v/>
      </c>
      <c r="D23" s="12">
        <f>COUNTIFS(Checklist!B4:B101,B23,Checklist!E4:E101,"OK")</f>
        <v/>
      </c>
      <c r="E23" s="12">
        <f>COUNTIFS(Checklist!B4:B101,B23,Checklist!E4:E101,"KO")</f>
        <v/>
      </c>
      <c r="F23" s="12">
        <f>COUNTIFS(Checklist!B4:B101,B23,Checklist!E4:E101,"Non testé")</f>
        <v/>
      </c>
    </row>
    <row r="24">
      <c r="B24" s="11" t="inlineStr">
        <is>
          <t>15. 7e Arène : retrouvailles avec Blaine (Seafoam)</t>
        </is>
      </c>
      <c r="C24" s="12">
        <f>COUNTIF(Checklist!B4:B101,B24)</f>
        <v/>
      </c>
      <c r="D24" s="12">
        <f>COUNTIFS(Checklist!B4:B101,B24,Checklist!E4:E101,"OK")</f>
        <v/>
      </c>
      <c r="E24" s="12">
        <f>COUNTIFS(Checklist!B4:B101,B24,Checklist!E4:E101,"KO")</f>
        <v/>
      </c>
      <c r="F24" s="12">
        <f>COUNTIFS(Checklist!B4:B101,B24,Checklist!E4:E101,"Non testé")</f>
        <v/>
      </c>
    </row>
    <row r="25">
      <c r="B25" s="11" t="inlineStr">
        <is>
          <t>16. Fin du scénario — Kess, Mira Voss, Blue, épilogue</t>
        </is>
      </c>
      <c r="C25" s="12">
        <f>COUNTIF(Checklist!B4:B101,B25)</f>
        <v/>
      </c>
      <c r="D25" s="12">
        <f>COUNTIFS(Checklist!B4:B101,B25,Checklist!E4:E101,"OK")</f>
        <v/>
      </c>
      <c r="E25" s="12">
        <f>COUNTIFS(Checklist!B4:B101,B25,Checklist!E4:E101,"KO")</f>
        <v/>
      </c>
      <c r="F25" s="12">
        <f>COUNTIFS(Checklist!B4:B101,B25,Checklist!E4:E101,"Non testé")</f>
        <v/>
      </c>
    </row>
    <row r="26">
      <c r="B26" s="11" t="inlineStr">
        <is>
          <t>17. Les 8 aspirants Champions (rencontres aléatoires)</t>
        </is>
      </c>
      <c r="C26" s="12">
        <f>COUNTIF(Checklist!B4:B101,B26)</f>
        <v/>
      </c>
      <c r="D26" s="12">
        <f>COUNTIFS(Checklist!B4:B101,B26,Checklist!E4:E101,"OK")</f>
        <v/>
      </c>
      <c r="E26" s="12">
        <f>COUNTIFS(Checklist!B4:B101,B26,Checklist!E4:E101,"KO")</f>
        <v/>
      </c>
      <c r="F26" s="12">
        <f>COUNTIFS(Checklist!B4:B101,B26,Checklist!E4:E101,"Non testé")</f>
        <v/>
      </c>
    </row>
    <row r="27">
      <c r="B27" s="11" t="inlineStr">
        <is>
          <t>18. Les 18 événements narratifs supplémentaires</t>
        </is>
      </c>
      <c r="C27" s="12">
        <f>COUNTIF(Checklist!B4:B101,B27)</f>
        <v/>
      </c>
      <c r="D27" s="12">
        <f>COUNTIFS(Checklist!B4:B101,B27,Checklist!E4:E101,"OK")</f>
        <v/>
      </c>
      <c r="E27" s="12">
        <f>COUNTIFS(Checklist!B4:B101,B27,Checklist!E4:E101,"KO")</f>
        <v/>
      </c>
      <c r="F27" s="12">
        <f>COUNTIFS(Checklist!B4:B101,B27,Checklist!E4:E101,"Non testé")</f>
        <v/>
      </c>
    </row>
    <row r="28">
      <c r="B28" s="11" t="inlineStr">
        <is>
          <t>19. Les 3 histoires secondaires restantes (section 8)</t>
        </is>
      </c>
      <c r="C28" s="12">
        <f>COUNTIF(Checklist!B4:B101,B28)</f>
        <v/>
      </c>
      <c r="D28" s="12">
        <f>COUNTIFS(Checklist!B4:B101,B28,Checklist!E4:E101,"OK")</f>
        <v/>
      </c>
      <c r="E28" s="12">
        <f>COUNTIFS(Checklist!B4:B101,B28,Checklist!E4:E101,"KO")</f>
        <v/>
      </c>
      <c r="F28" s="12">
        <f>COUNTIFS(Checklist!B4:B101,B28,Checklist!E4:E101,"Non testé")</f>
        <v/>
      </c>
    </row>
  </sheetData>
  <mergeCells count="1">
    <mergeCell ref="B3:H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1"/>
  <sheetViews>
    <sheetView workbookViewId="0">
      <pane ySplit="3" topLeftCell="A4" activePane="bottomLeft" state="frozen"/>
      <selection pane="bottomLeft" activeCell="A1" sqref="A1"/>
    </sheetView>
  </sheetViews>
  <sheetFormatPr baseColWidth="8" defaultRowHeight="15"/>
  <cols>
    <col width="6" customWidth="1" min="1" max="1"/>
    <col width="30" customWidth="1" min="2" max="2"/>
    <col width="80" customWidth="1" min="3" max="3"/>
    <col width="22" customWidth="1" min="4" max="4"/>
    <col width="14" customWidth="1" min="5" max="5"/>
    <col width="36" customWidth="1" min="6" max="6"/>
  </cols>
  <sheetData>
    <row r="1">
      <c r="A1" s="13" t="inlineStr">
        <is>
          <t>Heart &amp; Soul — Checklist de test détaillée</t>
        </is>
      </c>
    </row>
    <row r="2" ht="28" customHeight="1">
      <c r="A2" s="14" t="inlineStr">
        <is>
          <t>Une ligne = un point à vérifier sur une partie neuve. Choisir un statut dans la liste déroulante (colonne Statut) et noter ce qui a été observé en cas de KO.</t>
        </is>
      </c>
    </row>
    <row r="3">
      <c r="A3" s="15" t="inlineStr">
        <is>
          <t>N°</t>
        </is>
      </c>
      <c r="B3" s="15" t="inlineStr">
        <is>
          <t>Section</t>
        </is>
      </c>
      <c r="C3" s="15" t="inlineStr">
        <is>
          <t>Élément à vérifier</t>
        </is>
      </c>
      <c r="D3" s="15" t="inlineStr">
        <is>
          <t>Zone concernée</t>
        </is>
      </c>
      <c r="E3" s="15" t="inlineStr">
        <is>
          <t>Statut</t>
        </is>
      </c>
      <c r="F3" s="15" t="inlineStr">
        <is>
          <t>Notes / observations</t>
        </is>
      </c>
    </row>
    <row r="4">
      <c r="A4" s="16" t="n">
        <v>1</v>
      </c>
      <c r="B4" s="17" t="inlineStr">
        <is>
          <t>1. Lancement / création de personnage</t>
        </is>
      </c>
      <c r="C4" s="17" t="inlineStr">
        <is>
          <t>Écran-titre → Nouvelle Partie → l'écran de choix du genre s'affiche directement, sans discours du Professeur Chen.</t>
        </is>
      </c>
      <c r="D4" s="18" t="inlineStr"/>
      <c r="E4" s="16" t="inlineStr">
        <is>
          <t>Non testé</t>
        </is>
      </c>
      <c r="F4" s="17" t="inlineStr"/>
    </row>
    <row r="5">
      <c r="A5" s="16" t="n">
        <v>2</v>
      </c>
      <c r="B5" s="17" t="inlineStr">
        <is>
          <t>1. Lancement / création de personnage</t>
        </is>
      </c>
      <c r="C5" s="17" t="inlineStr">
        <is>
          <t>Choix du genre, saisie du nom : fonctionnent normalement.</t>
        </is>
      </c>
      <c r="D5" s="18" t="inlineStr">
        <is>
          <t>Choix du genre, saisie du nom</t>
        </is>
      </c>
      <c r="E5" s="16" t="inlineStr">
        <is>
          <t>Non testé</t>
        </is>
      </c>
      <c r="F5" s="17" t="inlineStr"/>
    </row>
    <row r="6">
      <c r="A6" s="16" t="n">
        <v>3</v>
      </c>
      <c r="B6" s="17" t="inlineStr">
        <is>
          <t>1. Lancement / création de personnage</t>
        </is>
      </c>
      <c r="C6" s="17" t="inlineStr">
        <is>
          <t>Le jeu démarre au Centre Pokémon de Cinnabar (pas à New Bark Town).</t>
        </is>
      </c>
      <c r="D6" s="18" t="inlineStr"/>
      <c r="E6" s="16" t="inlineStr">
        <is>
          <t>Non testé</t>
        </is>
      </c>
      <c r="F6" s="17" t="inlineStr"/>
    </row>
    <row r="7">
      <c r="A7" s="16" t="n">
        <v>4</v>
      </c>
      <c r="B7" s="17" t="inlineStr">
        <is>
          <t>2. Choix du type et de l'équipe</t>
        </is>
      </c>
      <c r="C7" s="17" t="inlineStr">
        <is>
          <t>Le menu des 18 types s'affiche (liste déroulante).</t>
        </is>
      </c>
      <c r="D7" s="18" t="inlineStr"/>
      <c r="E7" s="16" t="inlineStr">
        <is>
          <t>Non testé</t>
        </is>
      </c>
      <c r="F7" s="17" t="inlineStr"/>
    </row>
    <row r="8">
      <c r="A8" s="16" t="n">
        <v>5</v>
      </c>
      <c r="B8" s="17" t="inlineStr">
        <is>
          <t>2. Choix du type et de l'équipe</t>
        </is>
      </c>
      <c r="C8" s="17" t="inlineStr">
        <is>
          <t>Choisir un type différent de la dernière fois si possible, pour couvrir les 18 au fil des tests.</t>
        </is>
      </c>
      <c r="D8" s="18" t="inlineStr"/>
      <c r="E8" s="16" t="inlineStr">
        <is>
          <t>Non testé</t>
        </is>
      </c>
      <c r="F8" s="17" t="inlineStr"/>
    </row>
    <row r="9">
      <c r="A9" s="16" t="n">
        <v>6</v>
      </c>
      <c r="B9" s="17" t="inlineStr">
        <is>
          <t>2. Choix du type et de l'équipe</t>
        </is>
      </c>
      <c r="C9" s="17" t="inlineStr">
        <is>
          <t>Sélection de 4 Pokémon distincts : un doublon fait bien rouvrir la liste.</t>
        </is>
      </c>
      <c r="D9" s="18" t="inlineStr">
        <is>
          <t>Sélection de 4 Pokémon distincts</t>
        </is>
      </c>
      <c r="E9" s="16" t="inlineStr">
        <is>
          <t>Non testé</t>
        </is>
      </c>
      <c r="F9" s="17" t="inlineStr"/>
    </row>
    <row r="10">
      <c r="A10" s="16" t="n">
        <v>7</v>
      </c>
      <c r="B10" s="17" t="inlineStr">
        <is>
          <t>2. Choix du type et de l'équipe</t>
        </is>
      </c>
      <c r="C10" s="17" t="inlineStr">
        <is>
          <t>Pour au moins un des 4, choix des 4 attaques via le Tuteur de Capacités (bouton B pour arrêter).</t>
        </is>
      </c>
      <c r="D10" s="18" t="inlineStr"/>
      <c r="E10" s="16" t="inlineStr">
        <is>
          <t>Non testé</t>
        </is>
      </c>
      <c r="F10" s="17" t="inlineStr"/>
    </row>
    <row r="11">
      <c r="A11" s="16" t="n">
        <v>8</v>
      </c>
      <c r="B11" s="17" t="inlineStr">
        <is>
          <t>2. Choix du type et de l'équipe</t>
        </is>
      </c>
      <c r="C11" s="17" t="inlineStr">
        <is>
          <t>Sac : 5 Poké Balls présentes, + les 8 CT de capacités de terrain (Coupe, Vol, Surf, Force, Flash, Rock Smash, Cascade, Tourbillon), + les 3 cannes à pêche (Old/Good/Super Rod).</t>
        </is>
      </c>
      <c r="D11" s="18" t="inlineStr">
        <is>
          <t>Sac</t>
        </is>
      </c>
      <c r="E11" s="16" t="inlineStr">
        <is>
          <t>Non testé</t>
        </is>
      </c>
      <c r="F11" s="17" t="inlineStr"/>
    </row>
    <row r="12">
      <c r="A12" s="16" t="n">
        <v>9</v>
      </c>
      <c r="B12" s="17" t="inlineStr">
        <is>
          <t>2. Choix du type et de l'équipe</t>
        </is>
      </c>
      <c r="C12" s="17" t="inlineStr">
        <is>
          <t>Sac : la Bicyclette est présente et utilisable.</t>
        </is>
      </c>
      <c r="D12" s="18" t="inlineStr">
        <is>
          <t>Sac</t>
        </is>
      </c>
      <c r="E12" s="16" t="inlineStr">
        <is>
          <t>Non testé</t>
        </is>
      </c>
      <c r="F12" s="17" t="inlineStr"/>
    </row>
    <row r="13">
      <c r="A13" s="16" t="n">
        <v>10</v>
      </c>
      <c r="B13" s="17" t="inlineStr">
        <is>
          <t>2. Choix du type et de l'équipe</t>
        </is>
      </c>
      <c r="C13" s="17" t="inlineStr">
        <is>
          <t>Menu START : entrée « Pokémon » présente (équipe consultable).</t>
        </is>
      </c>
      <c r="D13" s="18" t="inlineStr">
        <is>
          <t>Menu START</t>
        </is>
      </c>
      <c r="E13" s="16" t="inlineStr">
        <is>
          <t>Non testé</t>
        </is>
      </c>
      <c r="F13" s="17" t="inlineStr"/>
    </row>
    <row r="14">
      <c r="A14" s="16" t="n">
        <v>11</v>
      </c>
      <c r="B14" s="17" t="inlineStr">
        <is>
          <t>2. Choix du type et de l'équipe</t>
        </is>
      </c>
      <c r="C14" s="17" t="inlineStr">
        <is>
          <t>Menu START : entrée « Pokénav »/Pokégear présente (carte accessible).</t>
        </is>
      </c>
      <c r="D14" s="18" t="inlineStr">
        <is>
          <t>Menu START</t>
        </is>
      </c>
      <c r="E14" s="16" t="inlineStr">
        <is>
          <t>Non testé</t>
        </is>
      </c>
      <c r="F14" s="17" t="inlineStr"/>
    </row>
    <row r="15">
      <c r="A15" s="16" t="n">
        <v>12</v>
      </c>
      <c r="B15" s="17" t="inlineStr">
        <is>
          <t>2. Choix du type et de l'équipe</t>
        </is>
      </c>
      <c r="C15" s="17" t="inlineStr">
        <is>
          <t>Chaussures de course actives (bouton B pour courir sur la carte).</t>
        </is>
      </c>
      <c r="D15" s="18" t="inlineStr"/>
      <c r="E15" s="16" t="inlineStr">
        <is>
          <t>Non testé</t>
        </is>
      </c>
      <c r="F15" s="17" t="inlineStr"/>
    </row>
    <row r="16">
      <c r="A16" s="16" t="n">
        <v>13</v>
      </c>
      <c r="B16" s="17" t="inlineStr">
        <is>
          <t>3. Attaque de Cinnabar (Acte I)</t>
        </is>
      </c>
      <c r="C16" s="17" t="inlineStr">
        <is>
          <t>Narration de l'attaque, un Grunt fait irruption, Blaine s'interpose puis disparaît (texte uniquement, pas de sprite visible à ce moment).</t>
        </is>
      </c>
      <c r="D16" s="18" t="inlineStr"/>
      <c r="E16" s="16" t="inlineStr">
        <is>
          <t>Non testé</t>
        </is>
      </c>
      <c r="F16" s="17" t="inlineStr"/>
    </row>
    <row r="17">
      <c r="A17" s="16" t="n">
        <v>14</v>
      </c>
      <c r="B17" s="17" t="inlineStr">
        <is>
          <t>3. Attaque de Cinnabar (Acte I)</t>
        </is>
      </c>
      <c r="C17" s="17" t="inlineStr">
        <is>
          <t>Un second Grunt bloque le passage juste après : combat forcé (pas de choix, pas de fuite possible), équipe niveau ~34. Après la victoire, le texte confirme que le passage vers le Mont Cinnabar est libre.</t>
        </is>
      </c>
      <c r="D17" s="18" t="inlineStr">
        <is>
          <t>Un second Grunt bloque le passage juste après</t>
        </is>
      </c>
      <c r="E17" s="16" t="inlineStr">
        <is>
          <t>Non testé</t>
        </is>
      </c>
      <c r="F17" s="17" t="inlineStr"/>
    </row>
    <row r="18">
      <c r="A18" s="16" t="n">
        <v>15</v>
      </c>
      <c r="B18" s="17" t="inlineStr">
        <is>
          <t>3. Attaque de Cinnabar (Acte I)</t>
        </is>
      </c>
      <c r="C18" s="17" t="inlineStr">
        <is>
          <t>Choix réfugiés (guider / cacher) : les deux options fonctionnent, message de résultat cohérent.</t>
        </is>
      </c>
      <c r="D18" s="18" t="inlineStr">
        <is>
          <t>Choix réfugiés</t>
        </is>
      </c>
      <c r="E18" s="16" t="inlineStr">
        <is>
          <t>Non testé</t>
        </is>
      </c>
      <c r="F18" s="17" t="inlineStr"/>
    </row>
    <row r="19">
      <c r="A19" s="16" t="n">
        <v>16</v>
      </c>
      <c r="B19" s="17" t="inlineStr">
        <is>
          <t>3. Attaque de Cinnabar (Acte I)</t>
        </is>
      </c>
      <c r="C19" s="17" t="inlineStr">
        <is>
          <t>Message de fuite → fondu au noir → téléportation automatique à Pallet Town, sans avoir à marcher ni utiliser un CS Fly.</t>
        </is>
      </c>
      <c r="D19" s="18" t="inlineStr"/>
      <c r="E19" s="16" t="inlineStr">
        <is>
          <t>Non testé</t>
        </is>
      </c>
      <c r="F19" s="17" t="inlineStr"/>
    </row>
    <row r="20">
      <c r="A20" s="16" t="n">
        <v>17</v>
      </c>
      <c r="B20" s="17" t="inlineStr">
        <is>
          <t>3. Attaque de Cinnabar (Acte I)</t>
        </is>
      </c>
      <c r="C20" s="17" t="inlineStr">
        <is>
          <t>Essayer de retourner vers Cinnabar (Route 21, vers le sud) : le jeu doit repousser le joueur avec un message, pas de possibilité d'entrer.</t>
        </is>
      </c>
      <c r="D20" s="18" t="inlineStr">
        <is>
          <t>Essayer de retourner vers Cinnabar</t>
        </is>
      </c>
      <c r="E20" s="16" t="inlineStr">
        <is>
          <t>Non testé</t>
        </is>
      </c>
      <c r="F20" s="17" t="inlineStr"/>
    </row>
    <row r="21">
      <c r="A21" s="16" t="n">
        <v>18</v>
      </c>
      <c r="B21" s="17" t="inlineStr">
        <is>
          <t>4. Route 1</t>
        </is>
      </c>
      <c r="C21" s="17" t="inlineStr">
        <is>
          <t>Combattre Quinn (Cooltrainer F).</t>
        </is>
      </c>
      <c r="D21" s="18" t="inlineStr"/>
      <c r="E21" s="16" t="inlineStr">
        <is>
          <t>Non testé</t>
        </is>
      </c>
      <c r="F21" s="17" t="inlineStr"/>
    </row>
    <row r="22">
      <c r="A22" s="16" t="n">
        <v>19</v>
      </c>
      <c r="B22" s="17" t="inlineStr">
        <is>
          <t>4. Route 1</t>
        </is>
      </c>
      <c r="C22" s="17" t="inlineStr">
        <is>
          <t>Juste après la victoire, sans avoir à lui reparler : dialogue de post-combat puis proposition de rendre le bracelet trouvé à Cinnabar.</t>
        </is>
      </c>
      <c r="D22" s="18" t="inlineStr">
        <is>
          <t>Juste après la victoire, sans avoir à lui reparler</t>
        </is>
      </c>
      <c r="E22" s="16" t="inlineStr">
        <is>
          <t>Non testé</t>
        </is>
      </c>
      <c r="F22" s="17" t="inlineStr"/>
    </row>
    <row r="23">
      <c r="A23" s="16" t="n">
        <v>20</v>
      </c>
      <c r="B23" s="17" t="inlineStr">
        <is>
          <t>4. Route 1</t>
        </is>
      </c>
      <c r="C23" s="17" t="inlineStr">
        <is>
          <t>Tester les deux choix (rendre / garder) sur des essais différents si possible.</t>
        </is>
      </c>
      <c r="D23" s="18" t="inlineStr"/>
      <c r="E23" s="16" t="inlineStr">
        <is>
          <t>Non testé</t>
        </is>
      </c>
      <c r="F23" s="17" t="inlineStr"/>
    </row>
    <row r="24">
      <c r="A24" s="16" t="n">
        <v>21</v>
      </c>
      <c r="B24" s="17" t="inlineStr">
        <is>
          <t>5. Viridian (Argenta)</t>
        </is>
      </c>
      <c r="C24" s="17" t="inlineStr">
        <is>
          <t>Mart : parler au PNJ (ex-« Cooltrainer M ») → proposition de rejoindre la résistance, choix aider/décliner fonctionnent.</t>
        </is>
      </c>
      <c r="D24" s="18" t="inlineStr">
        <is>
          <t>Mart</t>
        </is>
      </c>
      <c r="E24" s="16" t="inlineStr">
        <is>
          <t>Non testé</t>
        </is>
      </c>
      <c r="F24" s="17" t="inlineStr"/>
    </row>
    <row r="25">
      <c r="A25" s="16" t="n">
        <v>22</v>
      </c>
      <c r="B25" s="17" t="inlineStr">
        <is>
          <t>5. Viridian (Argenta)</t>
        </is>
      </c>
      <c r="C25" s="17" t="inlineStr">
        <is>
          <t>Mart : parler au vendeur (comptoir) → un vrai magasin s'ouvre avec Poké Ball/Potion/Antidote/Anti-Paralysie à acheter.</t>
        </is>
      </c>
      <c r="D25" s="18" t="inlineStr">
        <is>
          <t>Mart</t>
        </is>
      </c>
      <c r="E25" s="16" t="inlineStr">
        <is>
          <t>Non testé</t>
        </is>
      </c>
      <c r="F25" s="17" t="inlineStr"/>
    </row>
    <row r="26">
      <c r="A26" s="16" t="n">
        <v>23</v>
      </c>
      <c r="B26" s="17" t="inlineStr">
        <is>
          <t>5. Viridian (Argenta)</t>
        </is>
      </c>
      <c r="C26" s="17" t="inlineStr">
        <is>
          <t>Arène : Blue est absent, le PNJ à l'intérieur explique que l'Arène est fermée (pas de combat possible).</t>
        </is>
      </c>
      <c r="D26" s="18" t="inlineStr">
        <is>
          <t>Arène</t>
        </is>
      </c>
      <c r="E26" s="16" t="inlineStr">
        <is>
          <t>Non testé</t>
        </is>
      </c>
      <c r="F26" s="17" t="inlineStr"/>
    </row>
    <row r="27">
      <c r="A27" s="16" t="n">
        <v>24</v>
      </c>
      <c r="B27" s="17" t="inlineStr">
        <is>
          <t>6. Forêt de Jade (Viridian Forest)</t>
        </is>
      </c>
      <c r="C27" s="17" t="inlineStr">
        <is>
          <t>Combattre Doug (Bug Catcher) — il erre assez loin de l'entrée nord, plutôt vers le centre-sud de la forêt, proche de la sortie côté Jadielle/Pewter. Continuer vers le sud si non trouvé près de l'entrée.</t>
        </is>
      </c>
      <c r="D27" s="18" t="inlineStr"/>
      <c r="E27" s="16" t="inlineStr">
        <is>
          <t>Non testé</t>
        </is>
      </c>
      <c r="F27" s="17" t="inlineStr"/>
    </row>
    <row r="28">
      <c r="A28" s="16" t="n">
        <v>25</v>
      </c>
      <c r="B28" s="17" t="inlineStr">
        <is>
          <t>6. Forêt de Jade (Viridian Forest)</t>
        </is>
      </c>
      <c r="C28" s="17" t="inlineStr">
        <is>
          <t>Juste après la victoire, sans avoir à lui reparler : dialogue bûcherons déplacés, choix aider/ignorer fonctionnent.</t>
        </is>
      </c>
      <c r="D28" s="18" t="inlineStr">
        <is>
          <t>Juste après la victoire, sans avoir à lui reparler</t>
        </is>
      </c>
      <c r="E28" s="16" t="inlineStr">
        <is>
          <t>Non testé</t>
        </is>
      </c>
      <c r="F28" s="17" t="inlineStr"/>
    </row>
    <row r="29">
      <c r="A29" s="16" t="n">
        <v>26</v>
      </c>
      <c r="B29" s="17" t="inlineStr">
        <is>
          <t>7. Argenta → Jadielle → Azuria (route et niveaux)</t>
        </is>
      </c>
      <c r="C29" s="17" t="inlineStr">
        <is>
          <t>Pokémon sauvages rencontrés sur Route 1/2/3/4, Forêt de Jade, Mont Sélénite : niveau ~34 (pas 45+).</t>
        </is>
      </c>
      <c r="D29" s="18" t="inlineStr"/>
      <c r="E29" s="16" t="inlineStr">
        <is>
          <t>Non testé</t>
        </is>
      </c>
      <c r="F29" s="17" t="inlineStr"/>
    </row>
    <row r="30">
      <c r="A30" s="16" t="n">
        <v>27</v>
      </c>
      <c r="B30" s="17" t="inlineStr">
        <is>
          <t>7. Argenta → Jadielle → Azuria (route et niveaux)</t>
        </is>
      </c>
      <c r="C30" s="17" t="inlineStr">
        <is>
          <t>Dresseurs rencontrés sur la route (Danny, Ed, Rob, etc.) : niveau ~34.</t>
        </is>
      </c>
      <c r="D30" s="18" t="inlineStr">
        <is>
          <t>Dresseurs rencontrés sur la route</t>
        </is>
      </c>
      <c r="E30" s="16" t="inlineStr">
        <is>
          <t>Non testé</t>
        </is>
      </c>
      <c r="F30" s="17" t="inlineStr"/>
    </row>
    <row r="31">
      <c r="A31" s="16" t="n">
        <v>28</v>
      </c>
      <c r="B31" s="17" t="inlineStr">
        <is>
          <t>7. Argenta → Jadielle → Azuria (route et niveaux)</t>
        </is>
      </c>
      <c r="C31" s="17" t="inlineStr">
        <is>
          <t>Coupe/Surf/Vol/Force/etc. utilisable sans badge depuis le menu Pokémon (CT + Pokémon compatible fournis dès le départ, voir section 2).</t>
        </is>
      </c>
      <c r="D31" s="18" t="inlineStr"/>
      <c r="E31" s="16" t="inlineStr">
        <is>
          <t>Non testé</t>
        </is>
      </c>
      <c r="F31" s="17" t="inlineStr"/>
    </row>
    <row r="32">
      <c r="A32" s="16" t="n">
        <v>29</v>
      </c>
      <c r="B32" s="17" t="inlineStr">
        <is>
          <t>8. Arène de Pierre (Jadielle)</t>
        </is>
      </c>
      <c r="C32" s="17" t="inlineStr">
        <is>
          <t>Mart de Jadielle : le vendeur au comptoir vend Poké Ball/Potion/Antidote/Anti-Paralysie/Réveil/Anti-Brûlure/Corde Sortie/Repousse.</t>
        </is>
      </c>
      <c r="D32" s="18" t="inlineStr">
        <is>
          <t>Mart de Jadielle</t>
        </is>
      </c>
      <c r="E32" s="16" t="inlineStr">
        <is>
          <t>Non testé</t>
        </is>
      </c>
      <c r="F32" s="17" t="inlineStr"/>
    </row>
    <row r="33">
      <c r="A33" s="16" t="n">
        <v>30</v>
      </c>
      <c r="B33" s="17" t="inlineStr">
        <is>
          <t>8. Arène de Pierre (Jadielle)</t>
        </is>
      </c>
      <c r="C33" s="17" t="inlineStr">
        <is>
          <t>En arrivant à l'Arène : seul notre dialogue (Pierre doute) s'affiche, puis le combat démarre directement — plus de texte anglais générique avant le combat.</t>
        </is>
      </c>
      <c r="D33" s="18" t="inlineStr">
        <is>
          <t>En arrivant à l'Arène</t>
        </is>
      </c>
      <c r="E33" s="16" t="inlineStr">
        <is>
          <t>Non testé</t>
        </is>
      </c>
      <c r="F33" s="17" t="inlineStr"/>
    </row>
    <row r="34">
      <c r="A34" s="16" t="n">
        <v>31</v>
      </c>
      <c r="B34" s="17" t="inlineStr">
        <is>
          <t>8. Arène de Pierre (Jadielle)</t>
        </is>
      </c>
      <c r="C34" s="17" t="inlineStr">
        <is>
          <t>Perdre volontairement ce premier combat, puis reparler à Pierre : la scène de doute (en français) doit se rejouer.</t>
        </is>
      </c>
      <c r="D34" s="18" t="inlineStr"/>
      <c r="E34" s="16" t="inlineStr">
        <is>
          <t>Non testé</t>
        </is>
      </c>
      <c r="F34" s="17" t="inlineStr"/>
    </row>
    <row r="35">
      <c r="A35" s="16" t="n">
        <v>32</v>
      </c>
      <c r="B35" s="17" t="inlineStr">
        <is>
          <t>8. Arène de Pierre (Jadielle)</t>
        </is>
      </c>
      <c r="C35" s="17" t="inlineStr">
        <is>
          <t>Gagner le combat : badge + CT Éboulement reçus normalement, puis un nouveau texte (en français, lié à notre histoire) où Pierre reconnaît avoir été convaincu.</t>
        </is>
      </c>
      <c r="D35" s="18" t="inlineStr">
        <is>
          <t>Gagner le combat</t>
        </is>
      </c>
      <c r="E35" s="16" t="inlineStr">
        <is>
          <t>Non testé</t>
        </is>
      </c>
      <c r="F35" s="17" t="inlineStr"/>
    </row>
    <row r="36">
      <c r="A36" s="16" t="n">
        <v>33</v>
      </c>
      <c r="B36" s="17" t="inlineStr">
        <is>
          <t>9. Azuria</t>
        </is>
      </c>
      <c r="C36" s="17" t="inlineStr">
        <is>
          <t>Mart d'Azuria : le vendeur vend en plus une Super Potion.</t>
        </is>
      </c>
      <c r="D36" s="18" t="inlineStr">
        <is>
          <t>Mart d'Azuria</t>
        </is>
      </c>
      <c r="E36" s="16" t="inlineStr">
        <is>
          <t>Non testé</t>
        </is>
      </c>
      <c r="F36" s="17" t="inlineStr"/>
    </row>
    <row r="37">
      <c r="A37" s="16" t="n">
        <v>34</v>
      </c>
      <c r="B37" s="17" t="inlineStr">
        <is>
          <t>9. Azuria</t>
        </is>
      </c>
      <c r="C37" s="17" t="inlineStr">
        <is>
          <t>Avant de réparer les canalisations : à l'Arène, Ondine explique le problème (Arène inondée/bloquée) et dit qu'elle n'écoutera qu'une fois les canalisations réparées — pas de combat possible à ce stade.</t>
        </is>
      </c>
      <c r="D37" s="18" t="inlineStr">
        <is>
          <t>Avant de réparer les canalisations</t>
        </is>
      </c>
      <c r="E37" s="16" t="inlineStr">
        <is>
          <t>Non testé</t>
        </is>
      </c>
      <c r="F37" s="17" t="inlineStr"/>
    </row>
    <row r="38">
      <c r="A38" s="16" t="n">
        <v>35</v>
      </c>
      <c r="B38" s="17" t="inlineStr">
        <is>
          <t>9. Azuria</t>
        </is>
      </c>
      <c r="C38" s="17" t="inlineStr">
        <is>
          <t>Toujours avant réparation : un PNJ Team Rocket est présent et interactif dans l'Arène (parler à lui affiche une ligne de sabotage).</t>
        </is>
      </c>
      <c r="D38" s="18" t="inlineStr">
        <is>
          <t>Toujours avant réparation</t>
        </is>
      </c>
      <c r="E38" s="16" t="inlineStr">
        <is>
          <t>Non testé</t>
        </is>
      </c>
      <c r="F38" s="17" t="inlineStr"/>
    </row>
    <row r="39">
      <c r="A39" s="16" t="n">
        <v>36</v>
      </c>
      <c r="B39" s="17" t="inlineStr">
        <is>
          <t>9. Azuria</t>
        </is>
      </c>
      <c r="C39" s="17" t="inlineStr">
        <is>
          <t>PNJ « canalisations sabotées » (Boy, en ville) : choix aider/ignorer fonctionnent, réparation obtenue.</t>
        </is>
      </c>
      <c r="D39" s="18" t="inlineStr">
        <is>
          <t>PNJ « canalisations sabotées »</t>
        </is>
      </c>
      <c r="E39" s="16" t="inlineStr">
        <is>
          <t>Non testé</t>
        </is>
      </c>
      <c r="F39" s="17" t="inlineStr"/>
    </row>
    <row r="40">
      <c r="A40" s="16" t="n">
        <v>37</v>
      </c>
      <c r="B40" s="17" t="inlineStr">
        <is>
          <t>9. Azuria</t>
        </is>
      </c>
      <c r="C40" s="17" t="inlineStr">
        <is>
          <t>Après réparation des canalisations : retourner à l'Arène — le PNJ Rocket a disparu, le combat contre Ondine est maintenant possible (notre dialogue, puis le combat) ; en cas de défaite, la scène se rejoue à la tentative suivante.</t>
        </is>
      </c>
      <c r="D40" s="18" t="inlineStr">
        <is>
          <t>Après réparation des canalisations</t>
        </is>
      </c>
      <c r="E40" s="16" t="inlineStr">
        <is>
          <t>Non testé</t>
        </is>
      </c>
      <c r="F40" s="17" t="inlineStr"/>
    </row>
    <row r="41">
      <c r="A41" s="16" t="n">
        <v>38</v>
      </c>
      <c r="B41" s="17" t="inlineStr">
        <is>
          <t>10. Route vers Carmin-sur-Mer (Vermilion)</t>
        </is>
      </c>
      <c r="C41" s="17" t="inlineStr">
        <is>
          <t>Depuis Azuria, prendre la route vers le nord (Route 5) → traverser Safrania (simple passage, pas d'arène ici) → Route 6 → Carmin-sur-Mer. Aucun garde ne doit bloquer ce trajet.</t>
        </is>
      </c>
      <c r="D41" s="18" t="inlineStr"/>
      <c r="E41" s="16" t="inlineStr">
        <is>
          <t>Non testé</t>
        </is>
      </c>
      <c r="F41" s="17" t="inlineStr"/>
    </row>
    <row r="42">
      <c r="A42" s="16" t="n">
        <v>39</v>
      </c>
      <c r="B42" s="17" t="inlineStr">
        <is>
          <t>10. Route vers Carmin-sur-Mer (Vermilion)</t>
        </is>
      </c>
      <c r="C42" s="17" t="inlineStr">
        <is>
          <t>Dresseurs et Pokémon sauvages sur ce trajet : niveau ~34.</t>
        </is>
      </c>
      <c r="D42" s="18" t="inlineStr">
        <is>
          <t>Dresseurs et Pokémon sauvages sur ce trajet</t>
        </is>
      </c>
      <c r="E42" s="16" t="inlineStr">
        <is>
          <t>Non testé</t>
        </is>
      </c>
      <c r="F42" s="17" t="inlineStr"/>
    </row>
    <row r="43">
      <c r="A43" s="16" t="n">
        <v>40</v>
      </c>
      <c r="B43" s="17" t="inlineStr">
        <is>
          <t>10. Route vers Carmin-sur-Mer (Vermilion)</t>
        </is>
      </c>
      <c r="C43" s="17" t="inlineStr">
        <is>
          <t>À Carmin-sur-Mer : parler au PNJ « Nerd » (interception radio) → choix aider/ignorer fonctionnent.</t>
        </is>
      </c>
      <c r="D43" s="18" t="inlineStr">
        <is>
          <t>À Carmin-sur-Mer</t>
        </is>
      </c>
      <c r="E43" s="16" t="inlineStr">
        <is>
          <t>Non testé</t>
        </is>
      </c>
      <c r="F43" s="17" t="inlineStr"/>
    </row>
    <row r="44">
      <c r="A44" s="16" t="n">
        <v>41</v>
      </c>
      <c r="B44" s="17" t="inlineStr">
        <is>
          <t>10. Route vers Carmin-sur-Mer (Vermilion)</t>
        </is>
      </c>
      <c r="C44" s="17" t="inlineStr">
        <is>
          <t>Mart de Carmin-sur-Mer : le vendeur vend Poké Ball/Super Potion/Antidote/Anti-Paralysie/Réveil/Anti-Gel/Repousse.</t>
        </is>
      </c>
      <c r="D44" s="18" t="inlineStr">
        <is>
          <t>Mart de Carmin-sur-Mer</t>
        </is>
      </c>
      <c r="E44" s="16" t="inlineStr">
        <is>
          <t>Non testé</t>
        </is>
      </c>
      <c r="F44" s="17" t="inlineStr"/>
    </row>
    <row r="45">
      <c r="A45" s="16" t="n">
        <v>42</v>
      </c>
      <c r="B45" s="17" t="inlineStr">
        <is>
          <t>11. Arène de Major Bob (Carmin-sur-Mer, 4e arène)</t>
        </is>
      </c>
      <c r="C45" s="17" t="inlineStr">
        <is>
          <t>Même schéma que Pierre/Ondine : notre dialogue (Major Bob doute), puis l'anglais, puis le combat.</t>
        </is>
      </c>
      <c r="D45" s="18" t="inlineStr">
        <is>
          <t>Même schéma que Pierre/Ondine</t>
        </is>
      </c>
      <c r="E45" s="16" t="inlineStr">
        <is>
          <t>Non testé</t>
        </is>
      </c>
      <c r="F45" s="17" t="inlineStr"/>
    </row>
    <row r="46">
      <c r="A46" s="16" t="n">
        <v>43</v>
      </c>
      <c r="B46" s="17" t="inlineStr">
        <is>
          <t>11. Arène de Major Bob (Carmin-sur-Mer, 4e arène)</t>
        </is>
      </c>
      <c r="C46" s="17" t="inlineStr">
        <is>
          <t>Perdre volontairement puis retenter : la scène de doute se rejoue.</t>
        </is>
      </c>
      <c r="D46" s="18" t="inlineStr">
        <is>
          <t>Perdre volontairement puis retenter</t>
        </is>
      </c>
      <c r="E46" s="16" t="inlineStr">
        <is>
          <t>Non testé</t>
        </is>
      </c>
      <c r="F46" s="17" t="inlineStr"/>
    </row>
    <row r="47">
      <c r="A47" s="16" t="n">
        <v>44</v>
      </c>
      <c r="B47" s="17" t="inlineStr">
        <is>
          <t>11. Arène de Major Bob (Carmin-sur-Mer, 4e arène)</t>
        </is>
      </c>
      <c r="C47" s="17" t="inlineStr">
        <is>
          <t>Gagner : badge reçu normalement.</t>
        </is>
      </c>
      <c r="D47" s="18" t="inlineStr">
        <is>
          <t>Gagner</t>
        </is>
      </c>
      <c r="E47" s="16" t="inlineStr">
        <is>
          <t>Non testé</t>
        </is>
      </c>
      <c r="F47" s="17" t="inlineStr"/>
    </row>
    <row r="48">
      <c r="A48" s="16" t="n">
        <v>45</v>
      </c>
      <c r="B48" s="17" t="inlineStr">
        <is>
          <t>12. Portes de Cinnabar (Arène/Manoir/Labo) — build séparé</t>
        </is>
      </c>
      <c r="C48" s="17" t="inlineStr">
        <is>
          <t>Ce test ne se fait pas dans la partie normale : lancer make hns MAPTEST=1 (voir MAP_TEST_README.md à la racine du dépôt) pour une ROM dédiée qui démarre directement à côté des 3 portes sur CinnabarIsland_hns.</t>
        </is>
      </c>
      <c r="D48" s="18" t="inlineStr">
        <is>
          <t>Ce test ne se fait pas dans la partie normale</t>
        </is>
      </c>
      <c r="E48" s="16" t="inlineStr">
        <is>
          <t>Non testé</t>
        </is>
      </c>
      <c r="F48" s="17" t="inlineStr"/>
    </row>
    <row r="49">
      <c r="A49" s="16" t="n">
        <v>46</v>
      </c>
      <c r="B49" s="17" t="inlineStr">
        <is>
          <t>12. Portes de Cinnabar (Arène/Manoir/Labo) — build séparé</t>
        </is>
      </c>
      <c r="C49" s="17" t="inlineStr">
        <is>
          <t>Les 3 portes (Arène, Manoir, Labo) sont visibles et franchissables, chacune mène au bon intérieur.</t>
        </is>
      </c>
      <c r="D49" s="18" t="inlineStr"/>
      <c r="E49" s="16" t="inlineStr">
        <is>
          <t>Non testé</t>
        </is>
      </c>
      <c r="F49" s="17" t="inlineStr"/>
    </row>
    <row r="50">
      <c r="A50" s="16" t="n">
        <v>47</v>
      </c>
      <c r="B50" s="17" t="inlineStr">
        <is>
          <t>12. Portes de Cinnabar (Arène/Manoir/Labo) — build séparé</t>
        </is>
      </c>
      <c r="C50" s="17" t="inlineStr">
        <is>
          <t>Sortir de chaque bâtiment ramène bien sur Cinnabar (pas sur l'ancien Kanto inerte).</t>
        </is>
      </c>
      <c r="D50" s="18" t="inlineStr"/>
      <c r="E50" s="16" t="inlineStr">
        <is>
          <t>Non testé</t>
        </is>
      </c>
      <c r="F50" s="17" t="inlineStr"/>
    </row>
    <row r="51">
      <c r="A51" s="16" t="n">
        <v>48</v>
      </c>
      <c r="B51" s="17" t="inlineStr">
        <is>
          <t>12. Portes de Cinnabar (Arène/Manoir/Labo) — build séparé</t>
        </is>
      </c>
      <c r="C51" s="17" t="inlineStr">
        <is>
          <t>Ne pas entrer dans le Centre Pokémon dans ce build de test : ça déclenche le script d'attaque de l'Acte I, hors périmètre de ce test précis.</t>
        </is>
      </c>
      <c r="D51" s="18" t="inlineStr">
        <is>
          <t>Ne pas entrer dans le Centre Pokémon dans ce build de test</t>
        </is>
      </c>
      <c r="E51" s="16" t="inlineStr">
        <is>
          <t>Non testé</t>
        </is>
      </c>
      <c r="F51" s="17" t="inlineStr"/>
    </row>
    <row r="52">
      <c r="A52" s="16" t="n">
        <v>49</v>
      </c>
      <c r="B52" s="17" t="inlineStr">
        <is>
          <t>12. Portes de Cinnabar (Arène/Manoir/Labo) — build séparé</t>
        </is>
      </c>
      <c r="C52" s="17" t="inlineStr">
        <is>
          <t>Nouveau : dans l'Arène, le PNJ ouvrier est présent et son dialogue s'affiche (reconstruction en cours / Blaine au Dojo).</t>
        </is>
      </c>
      <c r="D52" s="18" t="inlineStr">
        <is>
          <t>Nouveau</t>
        </is>
      </c>
      <c r="E52" s="16" t="inlineStr">
        <is>
          <t>Non testé</t>
        </is>
      </c>
      <c r="F52" s="17" t="inlineStr"/>
    </row>
    <row r="53">
      <c r="A53" s="16" t="n">
        <v>50</v>
      </c>
      <c r="B53" s="17" t="inlineStr">
        <is>
          <t>12. Portes de Cinnabar (Arène/Manoir/Labo) — build séparé</t>
        </is>
      </c>
      <c r="C53" s="17" t="inlineStr">
        <is>
          <t>Nouveau : dans le Labo, la PNJ assistante est présente et son dialogue s'affiche (recherches au ralenti).</t>
        </is>
      </c>
      <c r="D53" s="18" t="inlineStr">
        <is>
          <t>Nouveau</t>
        </is>
      </c>
      <c r="E53" s="16" t="inlineStr">
        <is>
          <t>Non testé</t>
        </is>
      </c>
      <c r="F53" s="17" t="inlineStr"/>
    </row>
    <row r="54">
      <c r="A54" s="16" t="n">
        <v>51</v>
      </c>
      <c r="B54" s="17" t="inlineStr">
        <is>
          <t>12. Portes de Cinnabar (Arène/Manoir/Labo) — build séparé</t>
        </is>
      </c>
      <c r="C54" s="17" t="inlineStr">
        <is>
          <t>Nouveau : dans le Manoir, les 2 panneaux « carnet de Blaine » sont trouvables et affichent chacun un texte différent.</t>
        </is>
      </c>
      <c r="D54" s="18" t="inlineStr">
        <is>
          <t>Nouveau</t>
        </is>
      </c>
      <c r="E54" s="16" t="inlineStr">
        <is>
          <t>Non testé</t>
        </is>
      </c>
      <c r="F54" s="17" t="inlineStr"/>
    </row>
    <row r="55">
      <c r="A55" s="16" t="n">
        <v>52</v>
      </c>
      <c r="B55" s="17" t="inlineStr">
        <is>
          <t>13. Acte III — les 3 lieutenants</t>
        </is>
      </c>
      <c r="C55" s="17" t="inlineStr">
        <is>
          <t>Lyre (Forêt de Jade) : en traversant la forêt (entre Argenta et Jadielle), une dresseuse LYRE (sprite Team Rocket) approche automatiquement et lance un combat. Dialogue d'avant-combat, de défaite et d'après-victoire s'affichent correctement.</t>
        </is>
      </c>
      <c r="D55" s="18" t="inlineStr">
        <is>
          <t>Lyre</t>
        </is>
      </c>
      <c r="E55" s="16" t="inlineStr">
        <is>
          <t>Non testé</t>
        </is>
      </c>
      <c r="F55" s="17" t="inlineStr"/>
    </row>
    <row r="56">
      <c r="A56" s="16" t="n">
        <v>53</v>
      </c>
      <c r="B56" s="17" t="inlineStr">
        <is>
          <t>13. Acte III — les 3 lieutenants</t>
        </is>
      </c>
      <c r="C56" s="17" t="inlineStr">
        <is>
          <t>Selen (Mont Sélénite) : au milieu du groupe de Clefairy sur MtMoon_Outside_hns, une dresseuse SELEN approche automatiquement et lance un combat. Mêmes vérifications (avant/défaite/après).</t>
        </is>
      </c>
      <c r="D56" s="18" t="inlineStr">
        <is>
          <t>Selen</t>
        </is>
      </c>
      <c r="E56" s="16" t="inlineStr">
        <is>
          <t>Non testé</t>
        </is>
      </c>
      <c r="F56" s="17" t="inlineStr"/>
    </row>
    <row r="57">
      <c r="A57" s="16" t="n">
        <v>54</v>
      </c>
      <c r="B57" s="17" t="inlineStr">
        <is>
          <t>13. Acte III — les 3 lieutenants</t>
        </is>
      </c>
      <c r="C57" s="17" t="inlineStr">
        <is>
          <t>Terrence (Rock Tunnel 1F) : PNJ immobile, à aborder (pas d'approche automatique). Dérouler la séquence de 3 questions à choix multiples.</t>
        </is>
      </c>
      <c r="D57" s="18" t="inlineStr">
        <is>
          <t>Terrence</t>
        </is>
      </c>
      <c r="E57" s="16" t="inlineStr">
        <is>
          <t>Non testé</t>
        </is>
      </c>
      <c r="F57" s="17" t="inlineStr"/>
    </row>
    <row r="58">
      <c r="A58" s="16" t="n">
        <v>55</v>
      </c>
      <c r="B58" s="17" t="inlineStr">
        <is>
          <t>13. Acte III — les 3 lieutenants</t>
        </is>
      </c>
      <c r="C58" s="17" t="inlineStr">
        <is>
          <t>Terrence — répondre B/A/A (le plus convaincant à chaque fois) → devrait mener à « convaincu », pas de combat, Terrence rejoint votre cause.</t>
        </is>
      </c>
      <c r="D58" s="18" t="inlineStr"/>
      <c r="E58" s="16" t="inlineStr">
        <is>
          <t>Non testé</t>
        </is>
      </c>
      <c r="F58" s="17" t="inlineStr"/>
    </row>
    <row r="59">
      <c r="A59" s="16" t="n">
        <v>56</v>
      </c>
      <c r="B59" s="17" t="inlineStr">
        <is>
          <t>13. Acte III — les 3 lieutenants</t>
        </is>
      </c>
      <c r="C59" s="17" t="inlineStr">
        <is>
          <t>Terrence — réessayer en répondant C à la question 1 (agressif) → devrait court-circuiter directement vers un combat complet, sans poser les questions 2 et 3.</t>
        </is>
      </c>
      <c r="D59" s="18" t="inlineStr"/>
      <c r="E59" s="16" t="inlineStr">
        <is>
          <t>Non testé</t>
        </is>
      </c>
      <c r="F59" s="17" t="inlineStr"/>
    </row>
    <row r="60">
      <c r="A60" s="16" t="n">
        <v>57</v>
      </c>
      <c r="B60" s="17" t="inlineStr">
        <is>
          <t>13. Acte III — les 3 lieutenants</t>
        </is>
      </c>
      <c r="C60" s="17" t="inlineStr">
        <is>
          <t>Terrence — réessayer en visant un score intermédiaire (ex. B/B/A) → devrait mener à un combat allégé (équipe réduite à 2 Pokémon, sans objets tenus) plutôt que l'équipe complète à 4.</t>
        </is>
      </c>
      <c r="D60" s="18" t="inlineStr"/>
      <c r="E60" s="16" t="inlineStr">
        <is>
          <t>Non testé</t>
        </is>
      </c>
      <c r="F60" s="17" t="inlineStr"/>
    </row>
    <row r="61">
      <c r="A61" s="16" t="n">
        <v>58</v>
      </c>
      <c r="B61" s="17" t="inlineStr">
        <is>
          <t>13. Acte III — les 3 lieutenants</t>
        </is>
      </c>
      <c r="C61" s="17" t="inlineStr">
        <is>
          <t>Terrence — après une défaite (quelle que soit la branche combat), reparler à Terrence : la séquence de questions ne doit pas se rejouer, le jeu doit relancer directement le même combat.</t>
        </is>
      </c>
      <c r="D61" s="18" t="inlineStr">
        <is>
          <t>Terrence — après une défaite</t>
        </is>
      </c>
      <c r="E61" s="16" t="inlineStr">
        <is>
          <t>Non testé</t>
        </is>
      </c>
      <c r="F61" s="17" t="inlineStr"/>
    </row>
    <row r="62">
      <c r="A62" s="16" t="n">
        <v>59</v>
      </c>
      <c r="B62" s="17" t="inlineStr">
        <is>
          <t>13. Acte III — les 3 lieutenants</t>
        </is>
      </c>
      <c r="C62" s="17" t="inlineStr">
        <is>
          <t>Pour les 3 : vérifier qu'aucun des 3 lieutenants ne bloque le passage ou ne casse le déplacement après le combat.</t>
        </is>
      </c>
      <c r="D62" s="18" t="inlineStr">
        <is>
          <t>Pour les 3</t>
        </is>
      </c>
      <c r="E62" s="16" t="inlineStr">
        <is>
          <t>Non testé</t>
        </is>
      </c>
      <c r="F62" s="17" t="inlineStr"/>
    </row>
    <row r="63">
      <c r="A63" s="16" t="n">
        <v>60</v>
      </c>
      <c r="B63" s="17" t="inlineStr">
        <is>
          <t>14. Acte IV — 3 Championnes ralliées</t>
        </is>
      </c>
      <c r="C63" s="17" t="inlineStr">
        <is>
          <t>Erika (Céladopole) : avant le combat, un dialogue de doute en français s'affiche (méfiance envers une Championne qui a perdu son île), puis le dialogue anglais d'origine, puis le combat. Équipe niveau ~34 (pas 60+).</t>
        </is>
      </c>
      <c r="D63" s="18" t="inlineStr">
        <is>
          <t>Erika</t>
        </is>
      </c>
      <c r="E63" s="16" t="inlineStr">
        <is>
          <t>Non testé</t>
        </is>
      </c>
      <c r="F63" s="17" t="inlineStr"/>
    </row>
    <row r="64">
      <c r="A64" s="16" t="n">
        <v>61</v>
      </c>
      <c r="B64" s="17" t="inlineStr">
        <is>
          <t>14. Acte IV — 3 Championnes ralliées</t>
        </is>
      </c>
      <c r="C64" s="17" t="inlineStr">
        <is>
          <t>Sabrina (Safrania) : même schéma (doute FR → dialogue original → combat), équipe niveau ~34.</t>
        </is>
      </c>
      <c r="D64" s="18" t="inlineStr">
        <is>
          <t>Sabrina</t>
        </is>
      </c>
      <c r="E64" s="16" t="inlineStr">
        <is>
          <t>Non testé</t>
        </is>
      </c>
      <c r="F64" s="17" t="inlineStr"/>
    </row>
    <row r="65">
      <c r="A65" s="16" t="n">
        <v>62</v>
      </c>
      <c r="B65" s="17" t="inlineStr">
        <is>
          <t>14. Acte IV — 3 Championnes ralliées</t>
        </is>
      </c>
      <c r="C65" s="17" t="inlineStr">
        <is>
          <t>Janine (Fuchsia) : même schéma, son dialogue de doute mentionne son père Koga. Équipe niveau ~34.</t>
        </is>
      </c>
      <c r="D65" s="18" t="inlineStr">
        <is>
          <t>Janine</t>
        </is>
      </c>
      <c r="E65" s="16" t="inlineStr">
        <is>
          <t>Non testé</t>
        </is>
      </c>
      <c r="F65" s="17" t="inlineStr"/>
    </row>
    <row r="66">
      <c r="A66" s="16" t="n">
        <v>63</v>
      </c>
      <c r="B66" s="17" t="inlineStr">
        <is>
          <t>14. Acte IV — 3 Championnes ralliées</t>
        </is>
      </c>
      <c r="C66" s="17" t="inlineStr">
        <is>
          <t>Pour les 3 : les dresseurs élèves rencontrés avant la Championne sont aussi niveau ~34, pas surclassés.</t>
        </is>
      </c>
      <c r="D66" s="18" t="inlineStr">
        <is>
          <t>Pour les 3</t>
        </is>
      </c>
      <c r="E66" s="16" t="inlineStr">
        <is>
          <t>Non testé</t>
        </is>
      </c>
      <c r="F66" s="17" t="inlineStr"/>
    </row>
    <row r="67">
      <c r="A67" s="16" t="n">
        <v>64</v>
      </c>
      <c r="B67" s="17" t="inlineStr">
        <is>
          <t>14. Acte IV — 3 Championnes ralliées</t>
        </is>
      </c>
      <c r="C67" s="17" t="inlineStr">
        <is>
          <t>Badge reçu normalement après chaque victoire (Erika, Sabrina, Janine).</t>
        </is>
      </c>
      <c r="D67" s="18" t="inlineStr"/>
      <c r="E67" s="16" t="inlineStr">
        <is>
          <t>Non testé</t>
        </is>
      </c>
      <c r="F67" s="17" t="inlineStr"/>
    </row>
    <row r="68">
      <c r="A68" s="16" t="n">
        <v>65</v>
      </c>
      <c r="B68" s="17" t="inlineStr">
        <is>
          <t>15. 7e Arène : retrouvailles avec Blaine (Seafoam)</t>
        </is>
      </c>
      <c r="C68" s="17" t="inlineStr">
        <is>
          <t>Avant le combat, une scène de retrouvailles en français s'affiche (Blaine reconnaît le joueur, explique avoir été emmené ici après l'attaque de Cinnabar), puis le dialogue anglais d'origine, puis le combat.</t>
        </is>
      </c>
      <c r="D68" s="18" t="inlineStr"/>
      <c r="E68" s="16" t="inlineStr">
        <is>
          <t>Non testé</t>
        </is>
      </c>
      <c r="F68" s="17" t="inlineStr"/>
    </row>
    <row r="69">
      <c r="A69" s="16" t="n">
        <v>66</v>
      </c>
      <c r="B69" s="17" t="inlineStr">
        <is>
          <t>15. 7e Arène : retrouvailles avec Blaine (Seafoam)</t>
        </is>
      </c>
      <c r="C69" s="17" t="inlineStr">
        <is>
          <t>Équipe de Blaine niveau ~34 (pas 65+).</t>
        </is>
      </c>
      <c r="D69" s="18" t="inlineStr"/>
      <c r="E69" s="16" t="inlineStr">
        <is>
          <t>Non testé</t>
        </is>
      </c>
      <c r="F69" s="17" t="inlineStr"/>
    </row>
    <row r="70">
      <c r="A70" s="16" t="n">
        <v>67</v>
      </c>
      <c r="B70" s="17" t="inlineStr">
        <is>
          <t>15. 7e Arène : retrouvailles avec Blaine (Seafoam)</t>
        </is>
      </c>
      <c r="C70" s="17" t="inlineStr">
        <is>
          <t>Badge reçu normalement après victoire.</t>
        </is>
      </c>
      <c r="D70" s="18" t="inlineStr"/>
      <c r="E70" s="16" t="inlineStr">
        <is>
          <t>Non testé</t>
        </is>
      </c>
      <c r="F70" s="17" t="inlineStr"/>
    </row>
    <row r="71">
      <c r="A71" s="16" t="n">
        <v>68</v>
      </c>
      <c r="B71" s="17" t="inlineStr">
        <is>
          <t>15. 7e Arène : retrouvailles avec Blaine (Seafoam)</t>
        </is>
      </c>
      <c r="C71" s="17" t="inlineStr">
        <is>
          <t>En reparlant à Blaine après la victoire (ou en revenant plus tard) : le texte anglais d'origine s'affiche, suivi d'une ligne française (« On rentre à Cinnabar dès que possible »).</t>
        </is>
      </c>
      <c r="D71" s="18" t="inlineStr">
        <is>
          <t>En reparlant à Blaine après la victoire</t>
        </is>
      </c>
      <c r="E71" s="16" t="inlineStr">
        <is>
          <t>Non testé</t>
        </is>
      </c>
      <c r="F71" s="17" t="inlineStr"/>
    </row>
    <row r="72">
      <c r="A72" s="16" t="n">
        <v>69</v>
      </c>
      <c r="B72" s="17" t="inlineStr">
        <is>
          <t>16. Fin du scénario — Kess, Mira Voss, Blue, épilogue</t>
        </is>
      </c>
      <c r="C72" s="17" t="inlineStr">
        <is>
          <t>Kess (Zone Safari, grotte de Fuchsia) : à aborder. Même séquence de conviction à 3 questions que Terrence (convaincue sans combat / combat allégé / combat complet selon les réponses). Après une défaite, reparler à Kess relance directement le même combat sans reposer les questions.</t>
        </is>
      </c>
      <c r="D72" s="18" t="inlineStr">
        <is>
          <t>Kess</t>
        </is>
      </c>
      <c r="E72" s="16" t="inlineStr">
        <is>
          <t>Non testé</t>
        </is>
      </c>
      <c r="F72" s="17" t="inlineStr"/>
    </row>
    <row r="73">
      <c r="A73" s="16" t="n">
        <v>70</v>
      </c>
      <c r="B73" s="17" t="inlineStr">
        <is>
          <t>16. Fin du scénario — Kess, Mira Voss, Blue, épilogue</t>
        </is>
      </c>
      <c r="C73" s="17" t="inlineStr">
        <is>
          <t>Mira Voss (Silph Co, Safrania) : combat direct après un court dialogue (pas de choix), équipe niveau ~34.</t>
        </is>
      </c>
      <c r="D73" s="18" t="inlineStr">
        <is>
          <t>Mira Voss</t>
        </is>
      </c>
      <c r="E73" s="16" t="inlineStr">
        <is>
          <t>Non testé</t>
        </is>
      </c>
      <c r="F73" s="17" t="inlineStr"/>
    </row>
    <row r="74">
      <c r="A74" s="16" t="n">
        <v>71</v>
      </c>
      <c r="B74" s="17" t="inlineStr">
        <is>
          <t>16. Fin du scénario — Kess, Mira Voss, Blue, épilogue</t>
        </is>
      </c>
      <c r="C74" s="17" t="inlineStr">
        <is>
          <t>Une fois Erika + Sabrina + Janine + Major Bob + Blaine + Mira Voss tous obtenus/vaincus : le retour à Cinnabar (Route 20/21) n'est plus bloqué, et Blue apparaît désormais à l'Arène de Viridian.</t>
        </is>
      </c>
      <c r="D74" s="18" t="inlineStr"/>
      <c r="E74" s="16" t="inlineStr">
        <is>
          <t>Non testé</t>
        </is>
      </c>
      <c r="F74" s="17" t="inlineStr"/>
    </row>
    <row r="75">
      <c r="A75" s="16" t="n">
        <v>72</v>
      </c>
      <c r="B75" s="17" t="inlineStr">
        <is>
          <t>16. Fin du scénario — Kess, Mira Voss, Blue, épilogue</t>
        </is>
      </c>
      <c r="C75" s="17" t="inlineStr">
        <is>
          <t>Blue (Arène de Viridian, 8e badge) : dialogue de révélation, puis 3 questions à choix multiples, puis le dialogue anglais d'origine, puis le combat. Perdre puis retenter doit rejouer toute la séquence de dialogue.</t>
        </is>
      </c>
      <c r="D75" s="18" t="inlineStr">
        <is>
          <t>Blue</t>
        </is>
      </c>
      <c r="E75" s="16" t="inlineStr">
        <is>
          <t>Non testé</t>
        </is>
      </c>
      <c r="F75" s="17" t="inlineStr"/>
    </row>
    <row r="76">
      <c r="A76" s="16" t="n">
        <v>73</v>
      </c>
      <c r="B76" s="17" t="inlineStr">
        <is>
          <t>16. Fin du scénario — Kess, Mira Voss, Blue, épilogue</t>
        </is>
      </c>
      <c r="C76" s="17" t="inlineStr">
        <is>
          <t>Juste après la victoire sur Blue : un épilogue en français s'affiche automatiquement (3 variantes selon la réputation accumulée — ternie/équilibrée/exemplaire). Vérifier qu'il ne se rejoue pas en revenant à l'Arène plus tard.</t>
        </is>
      </c>
      <c r="D76" s="18" t="inlineStr">
        <is>
          <t>Juste après la victoire sur Blue</t>
        </is>
      </c>
      <c r="E76" s="16" t="inlineStr">
        <is>
          <t>Non testé</t>
        </is>
      </c>
      <c r="F76" s="17" t="inlineStr"/>
    </row>
    <row r="77">
      <c r="A77" s="16" t="n">
        <v>74</v>
      </c>
      <c r="B77" s="17" t="inlineStr">
        <is>
          <t>16. Fin du scénario — Kess, Mira Voss, Blue, épilogue</t>
        </is>
      </c>
      <c r="C77" s="17" t="inlineStr">
        <is>
          <t>Si l'épilogue « exemplaire » s'affiche : vérifier que le texte mentionne un accès aux sous-sols du Pokémon Mansion (contenu réel non encore implémenté — normal que rien de plus ne se passe pour l'instant).</t>
        </is>
      </c>
      <c r="D77" s="18" t="inlineStr">
        <is>
          <t>Si l'épilogue « exemplaire » s'affiche</t>
        </is>
      </c>
      <c r="E77" s="16" t="inlineStr">
        <is>
          <t>Non testé</t>
        </is>
      </c>
      <c r="F77" s="17" t="inlineStr"/>
    </row>
    <row r="78">
      <c r="A78" s="16" t="n">
        <v>75</v>
      </c>
      <c r="B78" s="17" t="inlineStr">
        <is>
          <t>17. Les 8 aspirants Champions (rencontres aléatoires)</t>
        </is>
      </c>
      <c r="C78" s="17" t="inlineStr">
        <is>
          <t>Sur Route21_hns, ViridianForest_hns, Route15_hns, SeafoamIslands_1F_hns, Route1_hns, RockTunnel_1F_hns et CeladonCity_hns : en traversant la zone plusieurs fois (1 chance sur 20 par visite), un dresseur aspirant apparaît parfois là où il n'y avait rien avant.</t>
        </is>
      </c>
      <c r="D78" s="18" t="inlineStr"/>
      <c r="E78" s="16" t="inlineStr">
        <is>
          <t>Non testé</t>
        </is>
      </c>
      <c r="F78" s="17" t="inlineStr"/>
    </row>
    <row r="79">
      <c r="A79" s="16" t="n">
        <v>76</v>
      </c>
      <c r="B79" s="17" t="inlineStr">
        <is>
          <t>17. Les 8 aspirants Champions (rencontres aléatoires)</t>
        </is>
      </c>
      <c r="C79" s="17" t="inlineStr">
        <is>
          <t>Chaque aspirant a un dialogue d'avant-combat, de défaite et d'après-victoire propre (pas de texte générique/dupliqué entre deux aspirants).</t>
        </is>
      </c>
      <c r="D79" s="18" t="inlineStr"/>
      <c r="E79" s="16" t="inlineStr">
        <is>
          <t>Non testé</t>
        </is>
      </c>
      <c r="F79" s="17" t="inlineStr"/>
    </row>
    <row r="80">
      <c r="A80" s="16" t="n">
        <v>77</v>
      </c>
      <c r="B80" s="17" t="inlineStr">
        <is>
          <t>17. Les 8 aspirants Champions (rencontres aléatoires)</t>
        </is>
      </c>
      <c r="C80" s="17" t="inlineStr">
        <is>
          <t>Corvin (Route 1) : ne doit apparaître que de nuit (vérifier avec l'horloge de la console — ne pas le chercher en plein jour).</t>
        </is>
      </c>
      <c r="D80" s="18" t="inlineStr">
        <is>
          <t>Corvin</t>
        </is>
      </c>
      <c r="E80" s="16" t="inlineStr">
        <is>
          <t>Non testé</t>
        </is>
      </c>
      <c r="F80" s="17" t="inlineStr"/>
    </row>
    <row r="81">
      <c r="A81" s="16" t="n">
        <v>78</v>
      </c>
      <c r="B81" s="17" t="inlineStr">
        <is>
          <t>17. Les 8 aspirants Champions (rencontres aléatoires)</t>
        </is>
      </c>
      <c r="C81" s="17" t="inlineStr">
        <is>
          <t>Ael (Route 21, x2) et Orin (Route 21, x2) : les deux peuvent apparaître sur la même route, à des occasions différentes, sans se remplacer l'un l'autre.</t>
        </is>
      </c>
      <c r="D81" s="18" t="inlineStr">
        <is>
          <t>Ael</t>
        </is>
      </c>
      <c r="E81" s="16" t="inlineStr">
        <is>
          <t>Non testé</t>
        </is>
      </c>
      <c r="F81" s="17" t="inlineStr"/>
    </row>
    <row r="82">
      <c r="A82" s="16" t="n">
        <v>79</v>
      </c>
      <c r="B82" s="17" t="inlineStr">
        <is>
          <t>17. Les 8 aspirants Champions (rencontres aléatoires)</t>
        </is>
      </c>
      <c r="C82" s="17" t="inlineStr">
        <is>
          <t>Chaque aspirant reste rejouable à une rencontre aléatoire ultérieure (pas de disparition définitive après une victoire — simplification voulue et documentée).</t>
        </is>
      </c>
      <c r="D82" s="18" t="inlineStr"/>
      <c r="E82" s="16" t="inlineStr">
        <is>
          <t>Non testé</t>
        </is>
      </c>
      <c r="F82" s="17" t="inlineStr"/>
    </row>
    <row r="83">
      <c r="A83" s="16" t="n">
        <v>80</v>
      </c>
      <c r="B83" s="17" t="inlineStr">
        <is>
          <t>17. Les 8 aspirants Champions (rencontres aléatoires)</t>
        </is>
      </c>
      <c r="C83" s="17" t="inlineStr">
        <is>
          <t>En battant au moins 6 des 8 aspirants sur la partie, puis en terminant le scénario avec l'épilogue exemplaire : un texte additionnel dédié aux aspirants doit s'afficher à la suite de l'épilogue normal.</t>
        </is>
      </c>
      <c r="D83" s="18" t="inlineStr"/>
      <c r="E83" s="16" t="inlineStr">
        <is>
          <t>Non testé</t>
        </is>
      </c>
      <c r="F83" s="17" t="inlineStr"/>
    </row>
    <row r="84">
      <c r="A84" s="16" t="n">
        <v>81</v>
      </c>
      <c r="B84" s="17" t="inlineStr">
        <is>
          <t>18. Les 18 événements narratifs supplémentaires</t>
        </is>
      </c>
      <c r="C84" s="17" t="inlineStr">
        <is>
          <t>Acte I : 4 nouveaux moments s'intercalent dans les scènes déjà connues de la chute de Cinnabar (choix de sauvetage, carnet du grunt trouvé, choix pour un Pokémon blessé, scène avec un marin sur la Route 21 pendant la tempête) — aucun ne doit bloquer la progression.</t>
        </is>
      </c>
      <c r="D84" s="18" t="inlineStr">
        <is>
          <t>Acte I</t>
        </is>
      </c>
      <c r="E84" s="16" t="inlineStr">
        <is>
          <t>Non testé</t>
        </is>
      </c>
      <c r="F84" s="17" t="inlineStr"/>
    </row>
    <row r="85">
      <c r="A85" s="16" t="n">
        <v>82</v>
      </c>
      <c r="B85" s="17" t="inlineStr">
        <is>
          <t>18. Les 18 événements narratifs supplémentaires</t>
        </is>
      </c>
      <c r="C85" s="17" t="inlineStr">
        <is>
          <t>Acte II : à Jadielle, le jeune dresseur croisé près du Bourg Palette a une ligne de dialogue supplémentaire ; à Argenta, le commerçant a une ligne après le discours de Blue entendu à la radio/en ville.</t>
        </is>
      </c>
      <c r="D85" s="18" t="inlineStr">
        <is>
          <t>Acte II</t>
        </is>
      </c>
      <c r="E85" s="16" t="inlineStr">
        <is>
          <t>Non testé</t>
        </is>
      </c>
      <c r="F85" s="17" t="inlineStr"/>
    </row>
    <row r="86">
      <c r="A86" s="16" t="n">
        <v>83</v>
      </c>
      <c r="B86" s="17" t="inlineStr">
        <is>
          <t>18. Les 18 événements narratifs supplémentaires</t>
        </is>
      </c>
      <c r="C86" s="17" t="inlineStr">
        <is>
          <t>Pewter (panneau photo) : près du marché, un panneau invisible (marcher dessus + A) affiche un vieux cliché de Blaine jeune avec une dresseuse qui ressemble au joueur — uniquement visible après l'Acte I.</t>
        </is>
      </c>
      <c r="D86" s="18" t="inlineStr">
        <is>
          <t>Pewter</t>
        </is>
      </c>
      <c r="E86" s="16" t="inlineStr">
        <is>
          <t>Non testé</t>
        </is>
      </c>
      <c r="F86" s="17" t="inlineStr"/>
    </row>
    <row r="87">
      <c r="A87" s="16" t="n">
        <v>84</v>
      </c>
      <c r="B87" s="17" t="inlineStr">
        <is>
          <t>18. Les 18 événements narratifs supplémentaires</t>
        </is>
      </c>
      <c r="C87" s="17" t="inlineStr">
        <is>
          <t>Route 3 (patrouille de reconnaissance) : entre Jadielle et le Mont Sélénite, un Grunt Rocket isolé lance un combat mineur, avant les vrais lieutenants de l'Acte III.</t>
        </is>
      </c>
      <c r="D87" s="18" t="inlineStr">
        <is>
          <t>Route 3</t>
        </is>
      </c>
      <c r="E87" s="16" t="inlineStr">
        <is>
          <t>Non testé</t>
        </is>
      </c>
      <c r="F87" s="17" t="inlineStr"/>
    </row>
    <row r="88">
      <c r="A88" s="16" t="n">
        <v>85</v>
      </c>
      <c r="B88" s="17" t="inlineStr">
        <is>
          <t>18. Les 18 événements narratifs supplémentaires</t>
        </is>
      </c>
      <c r="C88" s="17" t="inlineStr">
        <is>
          <t>Mont Sélénite : fragments de folklore Clefairy déjà présents dans le jeu de base, visibles avant/pendant la scène avec Selen (rien de nouveau à vérifier au-delà de l'existant).</t>
        </is>
      </c>
      <c r="D88" s="18" t="inlineStr">
        <is>
          <t>Mont Sélénite</t>
        </is>
      </c>
      <c r="E88" s="16" t="inlineStr">
        <is>
          <t>Non testé</t>
        </is>
      </c>
      <c r="F88" s="17" t="inlineStr"/>
    </row>
    <row r="89">
      <c r="A89" s="16" t="n">
        <v>86</v>
      </c>
      <c r="B89" s="17" t="inlineStr">
        <is>
          <t>18. Les 18 événements narratifs supplémentaires</t>
        </is>
      </c>
      <c r="C89" s="17" t="inlineStr">
        <is>
          <t>Capture d'un Champion allié : au fil de l'Acte III, une ligne de texte évoque la capture brève d'un Champion déjà rallié (Pierre ou Ondine) par la Team Rocket.</t>
        </is>
      </c>
      <c r="D89" s="18" t="inlineStr">
        <is>
          <t>Capture d'un Champion allié</t>
        </is>
      </c>
      <c r="E89" s="16" t="inlineStr">
        <is>
          <t>Non testé</t>
        </is>
      </c>
      <c r="F89" s="17" t="inlineStr"/>
    </row>
    <row r="90">
      <c r="A90" s="16" t="n">
        <v>87</v>
      </c>
      <c r="B90" s="17" t="inlineStr">
        <is>
          <t>18. Les 18 événements narratifs supplémentaires</t>
        </is>
      </c>
      <c r="C90" s="17" t="inlineStr">
        <is>
          <t>Terrence (éboulement du Rock Tunnel) : juste avant la séquence de conviction, un texte d'éboulement/alliance temporaire s'affiche avant les 3 questions habituelles.</t>
        </is>
      </c>
      <c r="D90" s="18" t="inlineStr">
        <is>
          <t>Terrence</t>
        </is>
      </c>
      <c r="E90" s="16" t="inlineStr">
        <is>
          <t>Non testé</t>
        </is>
      </c>
      <c r="F90" s="17" t="inlineStr"/>
    </row>
    <row r="91">
      <c r="A91" s="16" t="n">
        <v>88</v>
      </c>
      <c r="B91" s="17" t="inlineStr">
        <is>
          <t>18. Les 18 événements narratifs supplémentaires</t>
        </is>
      </c>
      <c r="C91" s="17" t="inlineStr">
        <is>
          <t>Kess (labo caché de la Zone Safari) : juste avant la séquence de conviction, un texte décrit d'anciennes installations d'expérimentation portant le sceau de Giovanni.</t>
        </is>
      </c>
      <c r="D91" s="18" t="inlineStr">
        <is>
          <t>Kess</t>
        </is>
      </c>
      <c r="E91" s="16" t="inlineStr">
        <is>
          <t>Non testé</t>
        </is>
      </c>
      <c r="F91" s="17" t="inlineStr"/>
    </row>
    <row r="92">
      <c r="A92" s="16" t="n">
        <v>89</v>
      </c>
      <c r="B92" s="17" t="inlineStr">
        <is>
          <t>18. Les 18 événements narratifs supplémentaires</t>
        </is>
      </c>
      <c r="C92" s="17" t="inlineStr">
        <is>
          <t>Céladopole (subordonné admiratif) : un dresseur optionnel, convaincu par le discours de Blue mais pas violent, propose un combat facultatif ; sa défaite montre un doute dans son texte d'après-combat.</t>
        </is>
      </c>
      <c r="D92" s="18" t="inlineStr">
        <is>
          <t>Céladopole</t>
        </is>
      </c>
      <c r="E92" s="16" t="inlineStr">
        <is>
          <t>Non testé</t>
        </is>
      </c>
      <c r="F92" s="17" t="inlineStr"/>
    </row>
    <row r="93">
      <c r="A93" s="16" t="n">
        <v>90</v>
      </c>
      <c r="B93" s="17" t="inlineStr">
        <is>
          <t>18. Les 18 événements narratifs supplémentaires</t>
        </is>
      </c>
      <c r="C93" s="17" t="inlineStr">
        <is>
          <t>Janine (scission du clan) : juste après avoir obtenu le badge de Fuchsia, un texte supplémentaire évoque une tentative de sabotage isolée par une minorité du clan, déjà réglée — ne doit apparaître qu'une seule fois.</t>
        </is>
      </c>
      <c r="D93" s="18" t="inlineStr">
        <is>
          <t>Janine</t>
        </is>
      </c>
      <c r="E93" s="16" t="inlineStr">
        <is>
          <t>Non testé</t>
        </is>
      </c>
      <c r="F93" s="17" t="inlineStr"/>
    </row>
    <row r="94">
      <c r="A94" s="16" t="n">
        <v>91</v>
      </c>
      <c r="B94" s="17" t="inlineStr">
        <is>
          <t>18. Les 18 événements narratifs supplémentaires</t>
        </is>
      </c>
      <c r="C94" s="17" t="inlineStr">
        <is>
          <t>Silph Co (piste de Blaine + alarme) : juste avant le combat contre Mira Voss, deux textes s'affichent dans l'ordre — un registre de détention au nom de Blaine (déjà retrouvé), puis une alarme dans les étages supérieurs.</t>
        </is>
      </c>
      <c r="D94" s="18" t="inlineStr">
        <is>
          <t>Silph Co</t>
        </is>
      </c>
      <c r="E94" s="16" t="inlineStr">
        <is>
          <t>Non testé</t>
        </is>
      </c>
      <c r="F94" s="17" t="inlineStr"/>
    </row>
    <row r="95">
      <c r="A95" s="16" t="n">
        <v>92</v>
      </c>
      <c r="B95" s="17" t="inlineStr">
        <is>
          <t>18. Les 18 événements narratifs supplémentaires</t>
        </is>
      </c>
      <c r="C95" s="17" t="inlineStr">
        <is>
          <t>Retrouvailles avec Blaine (Seafoam) : déjà couvert par la section 15 de cette liste — pas de nouveau point à tester ici.</t>
        </is>
      </c>
      <c r="D95" s="18" t="inlineStr">
        <is>
          <t>Retrouvailles avec Blaine</t>
        </is>
      </c>
      <c r="E95" s="16" t="inlineStr">
        <is>
          <t>Non testé</t>
        </is>
      </c>
      <c r="F95" s="17" t="inlineStr"/>
    </row>
    <row r="96">
      <c r="A96" s="16" t="n">
        <v>93</v>
      </c>
      <c r="B96" s="17" t="inlineStr">
        <is>
          <t>18. Les 18 événements narratifs supplémentaires</t>
        </is>
      </c>
      <c r="C96" s="17" t="inlineStr">
        <is>
          <t>Retour des alliés (avant Blue) : juste avant la révélation de Blue à l'Arène de Viridian, un texte récapitule les Champions ralliés — varie selon Terrence/Kess convaincus, puis une seconde ligne selon le débat du clan de Fuchsia (section 19). Une seule fois, même après une défaite contre Blue.</t>
        </is>
      </c>
      <c r="D96" s="18" t="inlineStr">
        <is>
          <t>Retour des alliés</t>
        </is>
      </c>
      <c r="E96" s="16" t="inlineStr">
        <is>
          <t>Non testé</t>
        </is>
      </c>
      <c r="F96" s="17" t="inlineStr"/>
    </row>
    <row r="97">
      <c r="A97" s="16" t="n">
        <v>94</v>
      </c>
      <c r="B97" s="17" t="inlineStr">
        <is>
          <t>19. Les 3 histoires secondaires restantes (section 8)</t>
        </is>
      </c>
      <c r="C97" s="17" t="inlineStr">
        <is>
          <t>Fuchsia (débat du clan) : en entrant dans l'Arène pour la première fois (après l'Acte II), avant le dialogue de doute habituel de Janine, un texte présente le clan divisé (engagement direct / stratégie de l'ombre) puis propose un choix. Ne doit se jouer qu'une seule fois.</t>
        </is>
      </c>
      <c r="D97" s="18" t="inlineStr">
        <is>
          <t>Fuchsia</t>
        </is>
      </c>
      <c r="E97" s="16" t="inlineStr">
        <is>
          <t>Non testé</t>
        </is>
      </c>
      <c r="F97" s="17" t="inlineStr"/>
    </row>
    <row r="98">
      <c r="A98" s="16" t="n">
        <v>95</v>
      </c>
      <c r="B98" s="17" t="inlineStr">
        <is>
          <t>19. Les 3 histoires secondaires restantes (section 8)</t>
        </is>
      </c>
      <c r="C98" s="17" t="inlineStr">
        <is>
          <t>Le choix fait à Fuchsia influence la ligne additionnelle de la scène « retour des alliés » avant Blue (section 18) : ninjas visibles si « engagement direct », surveillance discrète si « stratégie de l'ombre ».</t>
        </is>
      </c>
      <c r="D98" s="18" t="inlineStr"/>
      <c r="E98" s="16" t="inlineStr">
        <is>
          <t>Non testé</t>
        </is>
      </c>
      <c r="F98" s="17" t="inlineStr"/>
    </row>
    <row r="99">
      <c r="A99" s="16" t="n">
        <v>96</v>
      </c>
      <c r="B99" s="17" t="inlineStr">
        <is>
          <t>19. Les 3 histoires secondaires restantes (section 8)</t>
        </is>
      </c>
      <c r="C99" s="17" t="inlineStr">
        <is>
          <t>Céladopole (financement Rocket) : dans le grand magasin (rez-de-chaussée), un panneau invisible révèle des registres de comptes qui ne correspondent pas aux ventes officielles — optionnel, ne bloque rien.</t>
        </is>
      </c>
      <c r="D99" s="18" t="inlineStr">
        <is>
          <t>Céladopole</t>
        </is>
      </c>
      <c r="E99" s="16" t="inlineStr">
        <is>
          <t>Non testé</t>
        </is>
      </c>
      <c r="F99" s="17" t="inlineStr"/>
    </row>
    <row r="100">
      <c r="A100" s="16" t="n">
        <v>97</v>
      </c>
      <c r="B100" s="17" t="inlineStr">
        <is>
          <t>19. Les 3 histoires secondaires restantes (section 8)</t>
        </is>
      </c>
      <c r="C100" s="17" t="inlineStr">
        <is>
          <t>Si ce panneau a été trouvé avant de battre Erika : une ligne de remerciement supplémentaire s'affiche juste après la victoire. Si non trouvé, rien ne change dans la scène d'Erika.</t>
        </is>
      </c>
      <c r="D100" s="18" t="inlineStr">
        <is>
          <t>Si ce panneau a été trouvé avant de battre Erika</t>
        </is>
      </c>
      <c r="E100" s="16" t="inlineStr">
        <is>
          <t>Non testé</t>
        </is>
      </c>
      <c r="F100" s="17" t="inlineStr"/>
    </row>
    <row r="101">
      <c r="A101" s="16" t="n">
        <v>98</v>
      </c>
      <c r="B101" s="17" t="inlineStr">
        <is>
          <t>19. Les 3 histoires secondaires restantes (section 8)</t>
        </is>
      </c>
      <c r="C101" s="17" t="inlineStr">
        <is>
          <t>Safrania/Silph Co (dossier de Mira Voss) : avant le combat, un panneau invisible affiche un dossier RH à son nom (réaffectation, motif « restructuration ») — texte différent de ce que Mira dit à l'oral juste après. Optionnel, ne bloque rien.</t>
        </is>
      </c>
      <c r="D101" s="18" t="inlineStr">
        <is>
          <t>Safrania/Silph Co</t>
        </is>
      </c>
      <c r="E101" s="16" t="inlineStr">
        <is>
          <t>Non testé</t>
        </is>
      </c>
      <c r="F101" s="17" t="inlineStr"/>
    </row>
  </sheetData>
  <autoFilter ref="A3:F101"/>
  <mergeCells count="2">
    <mergeCell ref="A2:F2"/>
    <mergeCell ref="A1:F1"/>
  </mergeCells>
  <conditionalFormatting sqref="E4:E101">
    <cfRule type="cellIs" priority="1" operator="equal" dxfId="0">
      <formula>"OK"</formula>
    </cfRule>
    <cfRule type="cellIs" priority="2" operator="equal" dxfId="1">
      <formula>"KO"</formula>
    </cfRule>
    <cfRule type="cellIs" priority="3" operator="equal" dxfId="2">
      <formula>"Non testé"</formula>
    </cfRule>
  </conditionalFormatting>
  <dataValidations count="1">
    <dataValidation sqref="E4:E101" showDropDown="0" showInputMessage="0" showErrorMessage="0" allowBlank="0" type="list">
      <formula1>"Non testé,OK,KO"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2026-09-03T16:16:02Z</dcterms:created>
  <dcterms:modified xsi:type="dcterms:W3CDTF">2026-09-03T16:16:02Z</dcterms:modified>
</cp:coreProperties>
</file>